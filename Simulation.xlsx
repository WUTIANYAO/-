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kenhe\Desktop\"/>
    </mc:Choice>
  </mc:AlternateContent>
  <xr:revisionPtr revIDLastSave="0" documentId="13_ncr:1_{9D8413B3-89B9-49E6-A37E-6B37A859A59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4" i="1"/>
  <c r="D23" i="1"/>
  <c r="D6" i="1"/>
</calcChain>
</file>

<file path=xl/sharedStrings.xml><?xml version="1.0" encoding="utf-8"?>
<sst xmlns="http://schemas.openxmlformats.org/spreadsheetml/2006/main" count="47" uniqueCount="47">
  <si>
    <t>キーワードベクトル検索シミュレーション</t>
  </si>
  <si>
    <t>検証対象</t>
  </si>
  <si>
    <t>項目</t>
  </si>
  <si>
    <t>説明</t>
  </si>
  <si>
    <t>結果</t>
  </si>
  <si>
    <t>TotalData</t>
  </si>
  <si>
    <t>Total IPC(As is)</t>
  </si>
  <si>
    <t>特許データに所属する全てのSubgroup数/件</t>
  </si>
  <si>
    <t>Patents per Year</t>
  </si>
  <si>
    <t>年間登録特許データ数/件</t>
  </si>
  <si>
    <t>Patents per IPC(Average)</t>
  </si>
  <si>
    <t>1 Subgroupに平均年間登録特許データ数/件</t>
  </si>
  <si>
    <t>FY2019</t>
  </si>
  <si>
    <t>Patents via FY19 Dataset</t>
  </si>
  <si>
    <t>PoC1におけるFY2019特許データセット件数/件</t>
  </si>
  <si>
    <t>IPC via FY19 Dataset</t>
  </si>
  <si>
    <t>FY2019特許データセットに所属するSubgroup数/件</t>
  </si>
  <si>
    <t>Patents per IPC(Max)</t>
  </si>
  <si>
    <t>1 Subgroupに最大年間登録特許データ数/件</t>
  </si>
  <si>
    <t>→keywords No.</t>
  </si>
  <si>
    <t>上記のSubgroupのキーワード抽出数/個</t>
  </si>
  <si>
    <t>→Process time</t>
  </si>
  <si>
    <t>上記のキーワード抽出処理の所要時間/秒</t>
  </si>
  <si>
    <t>Embedding</t>
  </si>
  <si>
    <t>Max token</t>
  </si>
  <si>
    <t>Embeddingモデルの最大処理Token数</t>
  </si>
  <si>
    <t>最大Token数に対応する文字数(約)</t>
  </si>
  <si>
    <t>最大Token数に対応するキーワード数(約)</t>
  </si>
  <si>
    <t>VectorSearch</t>
  </si>
  <si>
    <t>Patents via PoC Dataset</t>
  </si>
  <si>
    <t>PoC1におけるFY17-19特許データセット件数/件</t>
  </si>
  <si>
    <t>Average Token No.</t>
  </si>
  <si>
    <t>1ベクトル化した文字列の平均Token数</t>
  </si>
  <si>
    <t>Vector Search time</t>
  </si>
  <si>
    <t>上記のデータセットのベクトル検索所要時間/秒</t>
  </si>
  <si>
    <t>Result</t>
  </si>
  <si>
    <t>PreProcess Time Estimate</t>
  </si>
  <si>
    <t>FY19のデータセットを基づいて登録処理時間の推測</t>
  </si>
  <si>
    <t>→年間６０万件の場合/時間(Single Thread)</t>
  </si>
  <si>
    <t>→一日1644件の場合/時間(Single Thread)</t>
  </si>
  <si>
    <t>PostProcess Time Estimate</t>
  </si>
  <si>
    <t>Total IPCを基づいてベクトル検索の所要時間推測</t>
  </si>
  <si>
    <t>→Total IPC 78,800の場合/秒</t>
  </si>
  <si>
    <t>→PoC1の場合、階層推理の所要時間推測/秒</t>
  </si>
  <si>
    <r>
      <rPr>
        <sz val="11"/>
        <color theme="1"/>
        <rFont val="宋体"/>
        <family val="3"/>
        <charset val="134"/>
      </rPr>
      <t>∼</t>
    </r>
    <r>
      <rPr>
        <sz val="11"/>
        <color theme="1"/>
        <rFont val="Meiryo"/>
        <family val="2"/>
        <charset val="128"/>
      </rPr>
      <t>Max charactors</t>
    </r>
  </si>
  <si>
    <r>
      <t>6000</t>
    </r>
    <r>
      <rPr>
        <sz val="11"/>
        <color theme="1"/>
        <rFont val="宋体"/>
        <family val="3"/>
        <charset val="134"/>
      </rPr>
      <t>∼</t>
    </r>
    <r>
      <rPr>
        <sz val="11"/>
        <color theme="1"/>
        <rFont val="Meiryo"/>
        <family val="2"/>
        <charset val="128"/>
      </rPr>
      <t>7000</t>
    </r>
  </si>
  <si>
    <r>
      <rPr>
        <sz val="11"/>
        <color theme="1"/>
        <rFont val="宋体"/>
        <family val="3"/>
        <charset val="134"/>
      </rPr>
      <t>∼</t>
    </r>
    <r>
      <rPr>
        <sz val="11"/>
        <color theme="1"/>
        <rFont val="Meiryo"/>
        <family val="2"/>
        <charset val="128"/>
      </rPr>
      <t>Max Keyword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</si>
</sst>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_ "/>
    <numFmt numFmtId="179" formatCode="#,##0.00_ "/>
  </numFmts>
  <fonts count="9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Meiryo"/>
      <family val="2"/>
      <charset val="128"/>
    </font>
    <font>
      <sz val="11"/>
      <color theme="1"/>
      <name val="Meiryo"/>
      <family val="2"/>
      <charset val="128"/>
    </font>
    <font>
      <b/>
      <sz val="11"/>
      <color theme="1"/>
      <name val="Meiryo"/>
      <family val="2"/>
      <charset val="128"/>
    </font>
    <font>
      <sz val="11"/>
      <color theme="0"/>
      <name val="Meiryo"/>
      <family val="2"/>
      <charset val="128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2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78" fontId="5" fillId="0" borderId="1" xfId="0" applyNumberFormat="1" applyFon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0" fontId="7" fillId="3" borderId="1" xfId="2" applyFont="1" applyBorder="1" applyAlignment="1">
      <alignment vertical="center"/>
    </xf>
  </cellXfs>
  <cellStyles count="3">
    <cellStyle name="常规" xfId="0" builtinId="0"/>
    <cellStyle name="好" xfId="1" builtinId="26"/>
    <cellStyle name="着色 3" xfId="2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7"/>
  <sheetViews>
    <sheetView tabSelected="1" workbookViewId="0">
      <selection activeCell="H6" sqref="H6"/>
    </sheetView>
  </sheetViews>
  <sheetFormatPr defaultColWidth="9" defaultRowHeight="18" x14ac:dyDescent="0.3"/>
  <cols>
    <col min="1" max="1" width="13.921875" style="8" customWidth="1"/>
    <col min="2" max="2" width="27.15234375" style="8" customWidth="1"/>
    <col min="3" max="3" width="51.23046875" style="8" customWidth="1"/>
    <col min="4" max="4" width="15.3828125" style="8" customWidth="1"/>
    <col min="5" max="16384" width="9" style="8"/>
  </cols>
  <sheetData>
    <row r="2" spans="1:4" x14ac:dyDescent="0.3">
      <c r="A2" s="1" t="s">
        <v>0</v>
      </c>
      <c r="B2" s="1"/>
      <c r="C2" s="1"/>
      <c r="D2" s="1"/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9" t="s">
        <v>6</v>
      </c>
      <c r="C4" s="9" t="s">
        <v>7</v>
      </c>
      <c r="D4" s="10">
        <v>78800</v>
      </c>
    </row>
    <row r="5" spans="1:4" x14ac:dyDescent="0.3">
      <c r="A5" s="3"/>
      <c r="B5" s="9" t="s">
        <v>8</v>
      </c>
      <c r="C5" s="9" t="s">
        <v>9</v>
      </c>
      <c r="D5" s="10">
        <v>600000</v>
      </c>
    </row>
    <row r="6" spans="1:4" x14ac:dyDescent="0.3">
      <c r="A6" s="3"/>
      <c r="B6" s="9" t="s">
        <v>10</v>
      </c>
      <c r="C6" s="9" t="s">
        <v>11</v>
      </c>
      <c r="D6" s="11">
        <f>D5/D4</f>
        <v>7.6142131979695433</v>
      </c>
    </row>
    <row r="7" spans="1:4" ht="6.45" customHeight="1" x14ac:dyDescent="0.3">
      <c r="A7" s="12"/>
      <c r="B7" s="12"/>
      <c r="C7" s="12"/>
      <c r="D7" s="12"/>
    </row>
    <row r="8" spans="1:4" x14ac:dyDescent="0.3">
      <c r="A8" s="3" t="s">
        <v>12</v>
      </c>
      <c r="B8" s="9" t="s">
        <v>13</v>
      </c>
      <c r="C8" s="9" t="s">
        <v>14</v>
      </c>
      <c r="D8" s="10">
        <v>10000</v>
      </c>
    </row>
    <row r="9" spans="1:4" x14ac:dyDescent="0.3">
      <c r="A9" s="3"/>
      <c r="B9" s="9" t="s">
        <v>15</v>
      </c>
      <c r="C9" s="9" t="s">
        <v>16</v>
      </c>
      <c r="D9" s="10">
        <v>4200</v>
      </c>
    </row>
    <row r="10" spans="1:4" x14ac:dyDescent="0.3">
      <c r="A10" s="3"/>
      <c r="B10" s="9" t="s">
        <v>17</v>
      </c>
      <c r="C10" s="9" t="s">
        <v>18</v>
      </c>
      <c r="D10" s="10">
        <v>400</v>
      </c>
    </row>
    <row r="11" spans="1:4" x14ac:dyDescent="0.3">
      <c r="A11" s="3"/>
      <c r="B11" s="9" t="s">
        <v>19</v>
      </c>
      <c r="C11" s="9" t="s">
        <v>20</v>
      </c>
      <c r="D11" s="10">
        <v>100</v>
      </c>
    </row>
    <row r="12" spans="1:4" x14ac:dyDescent="0.3">
      <c r="A12" s="3"/>
      <c r="B12" s="9" t="s">
        <v>21</v>
      </c>
      <c r="C12" s="9" t="s">
        <v>22</v>
      </c>
      <c r="D12" s="11">
        <v>3.5</v>
      </c>
    </row>
    <row r="13" spans="1:4" ht="6.45" customHeight="1" x14ac:dyDescent="0.3">
      <c r="A13" s="12"/>
      <c r="B13" s="12"/>
      <c r="C13" s="12"/>
      <c r="D13" s="12"/>
    </row>
    <row r="14" spans="1:4" x14ac:dyDescent="0.3">
      <c r="A14" s="4" t="s">
        <v>23</v>
      </c>
      <c r="B14" s="9" t="s">
        <v>24</v>
      </c>
      <c r="C14" s="9" t="s">
        <v>25</v>
      </c>
      <c r="D14" s="10">
        <v>8150</v>
      </c>
    </row>
    <row r="15" spans="1:4" x14ac:dyDescent="0.3">
      <c r="A15" s="5"/>
      <c r="B15" s="9" t="s">
        <v>44</v>
      </c>
      <c r="C15" s="9" t="s">
        <v>26</v>
      </c>
      <c r="D15" s="6" t="s">
        <v>45</v>
      </c>
    </row>
    <row r="16" spans="1:4" x14ac:dyDescent="0.3">
      <c r="A16" s="7"/>
      <c r="B16" s="9" t="s">
        <v>46</v>
      </c>
      <c r="C16" s="9" t="s">
        <v>27</v>
      </c>
      <c r="D16" s="10">
        <v>1500</v>
      </c>
    </row>
    <row r="17" spans="1:4" ht="6.45" customHeight="1" x14ac:dyDescent="0.3">
      <c r="A17" s="12"/>
      <c r="B17" s="12"/>
      <c r="C17" s="12"/>
      <c r="D17" s="12"/>
    </row>
    <row r="18" spans="1:4" x14ac:dyDescent="0.3">
      <c r="A18" s="4" t="s">
        <v>28</v>
      </c>
      <c r="B18" s="9" t="s">
        <v>29</v>
      </c>
      <c r="C18" s="9" t="s">
        <v>30</v>
      </c>
      <c r="D18" s="10">
        <v>60000</v>
      </c>
    </row>
    <row r="19" spans="1:4" x14ac:dyDescent="0.3">
      <c r="A19" s="5"/>
      <c r="B19" s="9" t="s">
        <v>31</v>
      </c>
      <c r="C19" s="9" t="s">
        <v>32</v>
      </c>
      <c r="D19" s="10">
        <v>6000</v>
      </c>
    </row>
    <row r="20" spans="1:4" x14ac:dyDescent="0.3">
      <c r="A20" s="7"/>
      <c r="B20" s="9" t="s">
        <v>33</v>
      </c>
      <c r="C20" s="9" t="s">
        <v>34</v>
      </c>
      <c r="D20" s="10">
        <v>16</v>
      </c>
    </row>
    <row r="21" spans="1:4" ht="6.45" customHeight="1" x14ac:dyDescent="0.3">
      <c r="A21" s="12"/>
      <c r="B21" s="12"/>
      <c r="C21" s="12"/>
      <c r="D21" s="12"/>
    </row>
    <row r="22" spans="1:4" x14ac:dyDescent="0.3">
      <c r="A22" s="4" t="s">
        <v>35</v>
      </c>
      <c r="B22" s="9" t="s">
        <v>36</v>
      </c>
      <c r="C22" s="9" t="s">
        <v>37</v>
      </c>
      <c r="D22" s="9"/>
    </row>
    <row r="23" spans="1:4" x14ac:dyDescent="0.3">
      <c r="A23" s="5"/>
      <c r="B23" s="9"/>
      <c r="C23" s="9" t="s">
        <v>38</v>
      </c>
      <c r="D23" s="10">
        <f>(D12+1)/2*D4/3600</f>
        <v>49.25</v>
      </c>
    </row>
    <row r="24" spans="1:4" x14ac:dyDescent="0.3">
      <c r="A24" s="5"/>
      <c r="B24" s="9"/>
      <c r="C24" s="9" t="s">
        <v>39</v>
      </c>
      <c r="D24" s="10">
        <f>(D12+1)/2*1644/3600</f>
        <v>1.0275000000000001</v>
      </c>
    </row>
    <row r="25" spans="1:4" x14ac:dyDescent="0.3">
      <c r="A25" s="5"/>
      <c r="B25" s="9" t="s">
        <v>40</v>
      </c>
      <c r="C25" s="9" t="s">
        <v>41</v>
      </c>
      <c r="D25" s="9"/>
    </row>
    <row r="26" spans="1:4" x14ac:dyDescent="0.3">
      <c r="A26" s="5"/>
      <c r="B26" s="9"/>
      <c r="C26" s="9" t="s">
        <v>42</v>
      </c>
      <c r="D26" s="10">
        <f>D20/D18*D4</f>
        <v>21.013333333333335</v>
      </c>
    </row>
    <row r="27" spans="1:4" x14ac:dyDescent="0.3">
      <c r="A27" s="7"/>
      <c r="B27" s="9"/>
      <c r="C27" s="9" t="s">
        <v>43</v>
      </c>
      <c r="D27" s="10">
        <v>100</v>
      </c>
    </row>
  </sheetData>
  <mergeCells count="6">
    <mergeCell ref="A18:A20"/>
    <mergeCell ref="A22:A27"/>
    <mergeCell ref="A4:A6"/>
    <mergeCell ref="A8:A12"/>
    <mergeCell ref="A2:D2"/>
    <mergeCell ref="A14:A16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KenWu</dc:creator>
  <cp:lastModifiedBy>天鑰 呉</cp:lastModifiedBy>
  <dcterms:created xsi:type="dcterms:W3CDTF">2025-06-23T10:19:23Z</dcterms:created>
  <dcterms:modified xsi:type="dcterms:W3CDTF">2025-06-23T18:37:34Z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8A556E641E2447708D3140F736328DEC</vt:lpwstr>
  </property>
  <property fmtid="{D5CDD505-2E9C-101B-9397-08002B2CF9AE}" pid="3" name="KSOProductBuildVer">
    <vt:lpwstr>2052-11.1.0.12173</vt:lpwstr>
  </property>
</Properties>
</file>