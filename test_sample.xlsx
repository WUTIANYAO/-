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kenhe\Desktop\Test\知财PoC\IPC_test\"/>
    </mc:Choice>
  </mc:AlternateContent>
  <xr:revisionPtr revIDLastSave="0" documentId="13_ncr:1_{E165F0ED-1C81-457F-8820-9DC52E603B7B}" xr6:coauthVersionLast="47" xr6:coauthVersionMax="47" xr10:uidLastSave="{00000000-0000-0000-0000-000000000000}"/>
  <bookViews>
    <workbookView xWindow="-103" yWindow="-103" windowWidth="22149" windowHeight="13200" xr2:uid="{685DA10D-DEC5-4705-BAF0-A25F74872425}"/>
  </bookViews>
  <sheets>
    <sheet name="sample" sheetId="5" r:id="rId1"/>
  </sheets>
  <definedNames>
    <definedName name="_xlnm._FilterDatabase" localSheetId="0" hidden="1">sample!$A$1:$L$26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5" l="1"/>
  <c r="L4" i="5"/>
  <c r="L5" i="5"/>
  <c r="L6" i="5"/>
  <c r="L7" i="5"/>
  <c r="L8" i="5"/>
  <c r="L9" i="5"/>
  <c r="L10" i="5"/>
  <c r="L11" i="5"/>
  <c r="L12" i="5"/>
  <c r="L13" i="5"/>
  <c r="L14" i="5"/>
  <c r="L15" i="5"/>
  <c r="L16" i="5"/>
  <c r="L17" i="5"/>
  <c r="L18" i="5"/>
  <c r="L19" i="5"/>
  <c r="L20" i="5"/>
  <c r="L21" i="5"/>
  <c r="L22" i="5"/>
  <c r="L23" i="5"/>
  <c r="L24" i="5"/>
  <c r="L25" i="5"/>
  <c r="L26" i="5"/>
  <c r="K3" i="5"/>
  <c r="K4" i="5"/>
  <c r="K5" i="5"/>
  <c r="K6" i="5"/>
  <c r="K7" i="5"/>
  <c r="K8" i="5"/>
  <c r="K9" i="5"/>
  <c r="K10" i="5"/>
  <c r="K11" i="5"/>
  <c r="K12" i="5"/>
  <c r="K13" i="5"/>
  <c r="K14" i="5"/>
  <c r="K15" i="5"/>
  <c r="K16" i="5"/>
  <c r="K17" i="5"/>
  <c r="K18" i="5"/>
  <c r="K19" i="5"/>
  <c r="K20" i="5"/>
  <c r="K21" i="5"/>
  <c r="K22" i="5"/>
  <c r="K23" i="5"/>
  <c r="K24" i="5"/>
  <c r="K25" i="5"/>
  <c r="K26" i="5"/>
  <c r="K2" i="5"/>
  <c r="L2" i="5"/>
  <c r="J3" i="5"/>
  <c r="J4" i="5"/>
  <c r="J5" i="5"/>
  <c r="J6" i="5"/>
  <c r="J7" i="5"/>
  <c r="J8" i="5"/>
  <c r="J9" i="5"/>
  <c r="J10" i="5"/>
  <c r="J11" i="5"/>
  <c r="J12" i="5"/>
  <c r="J13" i="5"/>
  <c r="J14" i="5"/>
  <c r="J15" i="5"/>
  <c r="J16" i="5"/>
  <c r="J17" i="5"/>
  <c r="J18" i="5"/>
  <c r="J19" i="5"/>
  <c r="J20" i="5"/>
  <c r="J21" i="5"/>
  <c r="J22" i="5"/>
  <c r="J23" i="5"/>
  <c r="J24" i="5"/>
  <c r="J25" i="5"/>
  <c r="J26" i="5"/>
  <c r="J2" i="5"/>
  <c r="I3" i="5"/>
  <c r="I4" i="5"/>
  <c r="I5" i="5"/>
  <c r="I6" i="5"/>
  <c r="I7" i="5"/>
  <c r="I8" i="5"/>
  <c r="I9" i="5"/>
  <c r="I10" i="5"/>
  <c r="I11" i="5"/>
  <c r="I12" i="5"/>
  <c r="I13" i="5"/>
  <c r="I14" i="5"/>
  <c r="I15" i="5"/>
  <c r="I16" i="5"/>
  <c r="I17" i="5"/>
  <c r="I18" i="5"/>
  <c r="I19" i="5"/>
  <c r="I20" i="5"/>
  <c r="I21" i="5"/>
  <c r="I22" i="5"/>
  <c r="I23" i="5"/>
  <c r="I24" i="5"/>
  <c r="I25" i="5"/>
  <c r="I26" i="5"/>
  <c r="I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BE43A1-9F7D-400A-AC59-93DC1017F2FE}" keepAlive="1" name="查询 - FY2019_sample" description="与工作簿中“FY2019_sample”查询的连接。" type="5" refreshedVersion="0" background="1">
    <dbPr connection="Provider=Microsoft.Mashup.OleDb.1;Data Source=$Workbook$;Location=FY2019_sample;Extended Properties=&quot;&quot;" command="SELECT * FROM [FY2019_sample]"/>
  </connection>
  <connection id="2" xr16:uid="{6978CCDE-2FEA-4AC5-9E48-6BB97A5124DE}" keepAlive="1" name="查询 - FY2019_sample (2)" description="与工作簿中“FY2019_sample (2)”查询的连接。" type="5" refreshedVersion="8" background="1" saveData="1">
    <dbPr connection="Provider=Microsoft.Mashup.OleDb.1;Data Source=$Workbook$;Location=&quot;FY2019_sample (2)&quot;;Extended Properties=&quot;&quot;" command="SELECT * FROM [FY2019_sample (2)]"/>
  </connection>
</connections>
</file>

<file path=xl/sharedStrings.xml><?xml version="1.0" encoding="utf-8"?>
<sst xmlns="http://schemas.openxmlformats.org/spreadsheetml/2006/main" count="162" uniqueCount="141">
  <si>
    <t>publication-doc-number</t>
  </si>
  <si>
    <t>invention-title</t>
  </si>
  <si>
    <t>classification-ipc</t>
  </si>
  <si>
    <t>classification_ipc_further</t>
  </si>
  <si>
    <t>abstract</t>
  </si>
  <si>
    <t>available</t>
  </si>
  <si>
    <t>middle_result</t>
  </si>
  <si>
    <t>final_result</t>
  </si>
  <si>
    <t>パン生地及び練り込み用油脂組成物</t>
  </si>
  <si>
    <t>A21D2/14</t>
  </si>
  <si>
    <t>A23D7/00;A23D9/00;A21D2/22;A21D2/26</t>
  </si>
  <si>
    <t>【課題】合成乳化剤が無添加であるにも関わらず、内相がきめ細かく、ボリューム、食感、及び老化抑制に優れたパンを作業性よく製造可能なパン生地を提供すること 【解決手段】油脂組成物が練り込まれたパン生地であって、前記パン生地は、合成乳化剤を含まず、アミラーゼを穀粉１００ｇに対し１．５〜１５０単位含有し、前記油脂組成物は、融点が２５〜４５℃の油脂と、Ｌ−アスコルビン酸とを含有し、含気され、比重が０．２〜０．８ｇ／ｍＬであり、油脂組成物の含有量は穀粉１００重量部に対し１〜３０重量部、油脂組成物に含まれるＬ−アスコルビン酸の含有量は穀粉１００重量部に対し４．０×１０〜４．０×１０重量部、油脂組成物に含まれていないがパン生地中に含まれているＬ−アスコルビン酸の含有量は穀粉１００重量部に対し１×１０重量部未満である、パン生地。</t>
  </si>
  <si>
    <t>A23C9/00,A21D13/00,A23C15/00,A23C11/00,A23L7/00,A23C19/00,A21D2/00,D06P1/00,A01J15/00,A21D8/00,C08F2/00,C08B30/00,A23G3/00,C11D10/00,D06L4/00,C09D11/00,C07C17/00,B05D7/00,D06N3/00,C07C57/00,A23C15/00,C07C69/00,A21D13/00,C12P7/00,C09K8/00,B01F101/00,C08G63/00,C08K13/00,G01N33/00,A23G9/00,C10M173/00,A23L29/00,C11D3/00,C10M107/00,C10M143/00,A23C11/00,C10M119/00,A61K47/00,C10M159/00,C10L1/00,C12N9/00,A21D8/00,D21H23/00,C12N15/00,C12P19/00,A23C9/00,A23K10/00,C09K8/00,A23L2/00,A21D13/00,C09D1/00,C01F7/00,A23L13/00,C04B38/00,A21D2/00,D06L4/00,A23L7/00,C12Q1/00,C08F2/00,C07C209/00,C08J9/00,A23L7/00,B65B1/00,A21D13/00,B65B3/00,C09K8/00,A23P20/00,B29C70/00,G05D5/00,B65B25/00,A21D8/00,A23P10/00,B28C1/00,H01M8/00,B21B37/00,A62D1/00,A23P30/00,F16L55/00,C12G1/00,C12C11/00,A21D13/00,H01M4/00,A23L7/00,B65B25/00,A21B5/00,A21D8/00,C08J9/00,C12G1/00,C12C11/00,B28C1/00,C08G69/00,A21C3/00,B28B21/00,A01J25/00,F16C33/00,B01F101/00,D02J1/00,C03B23/00,C04B35/00,C08J3/00</t>
  </si>
  <si>
    <t>A21D2/00,A21D8/00,A21D13/00,A23L7/00,A23C15/00,A23C15/00,A21D13/00,C07C69/00,C12P7/00,B01F101/00,C12N9/00,A21D8/00,A21D13/00,C12P19/00,C12N15/00,A21D13/00,A23L7/00,C08J9/00,A23P20/00,G05D5/00,A21D13/00,A23L7/00,A21B5/00,A21D8/00,C08J9/00</t>
  </si>
  <si>
    <t>複合油脂性菓子</t>
  </si>
  <si>
    <t>A23G3/50</t>
  </si>
  <si>
    <t>A23G1/00</t>
  </si>
  <si>
    <t>【課題】油脂性菓子の内層と外層とで食感の変化を楽しむことができると共に、保存期間中における品質の劣化を抑制できるようにした複合油脂性菓子を提供する。 【解決手段】内層１２をなす第１油脂性菓子と、前記第１油脂性菓子の全部又は少なくとも大部分を覆って外層１１をなす第２油脂性菓子とを接合してなる複合油脂性菓子１０ａであって、前記第１油脂性菓子は、水分含量が５質量％以上２０質量％以下であり、前記第２油脂性菓子は、還元イソマルツロース及び／又はイソマルツロースを２６質量％以上５０質量％以下含有しており、前記第２油脂性菓子の表層が、焼成によって手で持ったときにべとつかない程度に熱変性している。</t>
  </si>
  <si>
    <t>A23G3/00,C09K8/00,B32B37/00,A23P20/00,C03C25/00,A23G9/00,H01M50/00,A23G1/00,A21D13/00,B29C48/00,C08K13/00,H01M8/00,D04H1/00,B29C43/00,B29C39/00,B29C41/00,B29C64/00,G11B7/00,C06B45/00,C08G63/00,C09K8/00,C08F2/00,A23G1/00,D21H23/00,A23C19/00,A21D13/00,A23G3/00,A23P10/00,A23P20/00,F24F1/00,B29C70/00,D21H21/00,D21H19/00,C09F5/00,A23L2/00,A23L7/00,H01M4/00,A23L3/00,A61P17/00,C14C9/00,A61K31/00,C07H3/00,C07H19/00,C06B45/00,C08F2/00,C08G18/00,C12P19/00,C09K23/00,C12C7/00,A23C19/00,A61K9/00,A23G3/00,C12Q1/00,B01F101/00,A23L29/00,A23C15/00,A23L33/00,C13K1/00,C08G63/00,A23P20/00,C23C8/00,C21D1/00,C25D5/00,H01L21/00,C23C10/00,B29C48/00,C23C22/00,B05D5/00,C08J7/00,C23C18/00,B29C53/00,B28B1/00,A23B7/00,C03B37/00,B05D3/00,C23D13/00,H05K3/00,B24C1/00,B22F1/00,A23B4/00</t>
  </si>
  <si>
    <t>A23G3/00,A23P20/00,B32B37/00,A23G1/00,A21D13/00,A23G1/00,A23G3/00,A21D13/00,A23P20/00,A23P10/00,C07H3/00,C12P19/00,C06B45/00,A61K31/00,C07H19/00,B05D5/00,C08J7/00,C21D1/00,B29C48/00,C23C18/00</t>
  </si>
  <si>
    <t>アイソレータ</t>
  </si>
  <si>
    <t>C12M1/00</t>
  </si>
  <si>
    <t/>
  </si>
  <si>
    <t>【課題】   滅菌時に、短時間で滅菌ガスを作業室全体に行き渡らせる。 【解決手段】   作業室と、前記作業室の前面に設けた前面扉を有し、循環用ファンにより、エアフィルタおよびパンチング板を介して前記作業室に清浄な空気が供給されるアイソレータであって、前記エアフィルタと前記パンチング板との間の領域に、少なくとも２つの滅菌ガス投入口を設けたものである。</t>
  </si>
  <si>
    <t>F24F3/00,A23L3/00,B65G53/00,H01J7/00,B07B11/00,A47L15/00,B65B55/00,A61M16/00,H01J61/00,H01H33/00,F26B3/00,C10B21/00,G21C19/00,A61G10/00,C01B3/00,A61B90/00,C02F1/00,D21C7/00,C12M1/00,F24F8/00,F24F1/00,H02B11/00,G21C19/00,E06B3/00,H01P1/00,H01R13/00,H01M50/00,B04C5/00,B01D33/00,F01C20/00,H01H13/00,E06B7/00,H01F27/00,H01H33/00,F23C10/00,E04B2/00,B65D1/00,F25D23/00,B65H3/00,H01J11/00,B01D46/00,F24F3/00,F01N3/00,B01D35/00,F02M35/00,F24F7/00,F02M26/00,F24F1/00,B01D33/00,B05B14/00,F01P5/00,F23N1/00,B01F25/00,B01D41/00,A47L5/00,B05B16/00,F24F11/00,B04B15/00,F23C10/00,E03D9/00,F27B7/00,F27B1/00,F27B5/00,F27B15/00,F23B50/00,E03C1/00,F24H9/00,B65B55/00,F27B14/00,F27B9/00,F27B3/00,F23C7/00,F02M69/00,A61M39/00,C10J3/00,B01D35/00,C21D9/00,G02F1/00,B29C45/00,H01H33/00</t>
  </si>
  <si>
    <t>F24F3/00,A23L3/00,B65G53/00,B65B55/00,A61M16/00,F24F1/00,E06B3/00,B01D33/00,H02B11/00,G21C19/00,B01D46/00,F24F3/00,F24F7/00,B01D35/00,F24F1/00,B65B55/00,F27B5/00,F27B7/00,F27B1/00,F27B15/00</t>
  </si>
  <si>
    <t>ペット用吸収性シート</t>
  </si>
  <si>
    <t>A01K1/015</t>
  </si>
  <si>
    <t>【課題】機能性材料の流出を抑制することができるペット用吸収性シートを提供する。 【解決手段】ペット用吸収性シート１０は、表面シート１２と、裏面シート１４と、表面シート１２と裏面シート１４との間に設けられた吸収体２０と、機能性材料４０と、表面シート１２側から裏面シート１４の方へ向かって凹む凹部５０と、を有する。機能性材料４０は、凹部５０の位置に設けられている。</t>
  </si>
  <si>
    <t>A61F13/00,B32B5/00,B41M5/00,H01M50/00,B29C63/00,D21H27/00,B65D81/00,A61L15/00,B32B37/00,F24S70/00,G09F11/00,G03F1/00,B29C70/00,B31B50/00,B01D24/00,A47C7/00,D04H1/00,D06N3/00,B62D1/00,A61F5/00,E04B2/00,B29C63/00,A61F13/00,E04F13/00,H01M50/00,B29C70/00,B29C73/00,A61L15/00,A47C27/00,B65D81/00,F16K1/00,B65H75/00,F42D1/00,F16L55/00,B31B50/00,B23K37/00,G09F11/00,G21C7/00,A23L3/00,B65H59/00,A61F13/00,E04B2/00,B65B11/00,B32B3/00,B29C48/00,B65D5/00,F24S70/00,B65D75/00,A43B7/00,B62J1/00,B60V1/00,B65D81/00,B65B43/00,G09F11/00,B60R21/00,H01S3/00,G01B3/00,B41F13/00,B29C70/00,A47C7/00,A61F13/00,F24S70/00,B29C70/00,G02F1/00,B65D81/00,A61L15/00,H01S3/00,G01N21/00,F24S10/00,C09K8/00,D04H1/00,F01N1/00,F04B37/00,G03F1/00,D06B15/00,B23K26/00,B41M5/00,B32B5/00,B29C73/00,B68G11/00</t>
  </si>
  <si>
    <t>A61F13/00,A61L15/00,B32B5/00,D21H27/00,B29C63/00,A61F13/00,A61L15/00,B29C63/00,B29C70/00,B65D81/00,A61F13/00,B32B3/00,F24S70/00,B65B11/00,B65D75/00,A61F13/00,A61L15/00,B29C70/00,F24S70/00,B65D81/00</t>
  </si>
  <si>
    <t>熱湯を注いで粘性を付与するための顆粒状組成物</t>
  </si>
  <si>
    <t>A23L23/00</t>
  </si>
  <si>
    <t>【課題】沸騰水ほどの高温の熱湯を使用せずとも、粘性を安定に発現することのできる、スープ、シチュー、又はソースなどを作るための組成物の提供。 【解決手段】未α化澱粉と、α化澱粉と、油脂と、澱粉分解物とを含む、熱湯を注いで粘性を付与するための顆粒状組成物。未α化澱粉含有量(A)及びα化澱粉含有量(B)の合計が５．０〜７０．０質量％であり、(A)：(B)の質量比が１：０．１〜６．０である、前記顆粒状組成物。未α化澱粉が、馬鈴薯澱粉及び／又はタピオカ澱粉を含み、α化澱粉が、α化ヒドロキシプロピル化リン酸架橋澱粉及び／又はα化リン酸架橋澱粉を含み、油脂の含有量が２５質量％以下であり、乳化剤を０．１質量％以上を含む、前記顆粒状組成物。</t>
  </si>
  <si>
    <t>A23L7/00,A23P10/00,H01F1/00,C09K8/00,C08J9/00,H01M8/00,A61K9/00,G03C1/00,A61K47/00,C05G5/00,C23C10/00,B05D1/00,C06B45/00,A47J47/00,C04B103/00,B24D3/00,A23L11/00,D04H3/00,C08J5/00,C08J3/00,C01F7/00,B01F101/00,A23L7/00,C12C7/00,C08J3/00,A21D13/00,A23L29/00,D21H23/00,B29B7/00,A23C9/00,C08B30/00,A23P10/00,C10M169/00,B01F35/00,A21D8/00,C07C17/00,C08F2/00,A23K10/00,B01F23/00,G01N30/00,C08F2/00,A23P10/00,A61K9/00,C09K8/00,A23C9/00,A23G1/00,B02C4/00,B01F101/00,C08J3/00,B01J2/00,A23P20/00,C10M169/00,A23L7/00,C10N50/00,G05D11/00,C08K13/00,D06P1/00,D01F2/00,C03C25/00,G02F1/00,A23P10/00,A23L7/00,C08J9/00,B02C4/00,C08B30/00,B05D1/00,C07C51/00,C08K9/00,A23L29/00,D21H23/00,C09C3/00,D01F2/00,C01F7/00,B41M5/00,E01C19/00,C23C10/00,A23G9/00,C01F11/00,C08F2/00,D06P1/00</t>
  </si>
  <si>
    <t>A23L7/00,A23P10/00,A23L7/00,A23L29/00,B01F101/00,C08J3/00,A21D13/00,A23P10/00,A23C9/00,B01F101/00,B01J2/00,C08J3/00,A23P10/00,A23L7/00,C08B30/00,A23L29/00,C08K9/00</t>
  </si>
  <si>
    <t>草刈機</t>
  </si>
  <si>
    <t>A01D34/76</t>
  </si>
  <si>
    <t>A01D34/68;A01D34/78</t>
  </si>
  <si>
    <t>【課題】  草刈刃の回転の停止を迅速に行うことができる草刈機を提案する。   【解決手段】  草刈機１は、回転力を発生する原動機１１と、該原動機１１の回転力を受けて回転する駆動軸２３を保持するヘッド部１７と、を備える。駆動軸２３は、その回転により、草刈刃３が回転するように構成されている。草刈機１のヘッド部１７は、駆動軸２３の回転を停止可能に構成された回転抑制装置５を備える。</t>
  </si>
  <si>
    <t>H02P3/00,D03D51/00,E05B67/00,B65B57/00,F41A17/00,B41J7/00,A24C5/00,E05D11/00,B60T8/00,A01D34/00,B27B17/00,B65G51/00,B41J33/00,G01D11/00,F16H48/00,H02P6/00,B23Q11/00,B26D7/00,G04B11/00,D02H13/00,A01D34/00,B61C9/00,B62M6/00,B64C27/00,F16H39/00,E05F15/00,E02F3/00,F02N15/00,F16D55/00,B64D35/00,B60K17/00,B23Q5/00,B01F35/00,A01K89/00,B62M1/00,F16D13/00,F16H3/00,F01C1/00,A63H31/00,F04C2/00,A01D34/00,A01B63/00,F16H61/00,H02K7/00,B66D1/00,B65H23/00,B64C25/00,D03D43/00,B01D21/00,B62M6/00,B62M9/00,H02P1/00,B23D17/00,B41J23/00,E05B81/00,H01H71/00,H01H33/00,D05B69/00,A01D63/00,B21B37/00,F41A17/00,B26B21/00,A01D75/00,A01D43/00,A01D34/00,B27B17/00,A01D7/00,D03D51/00,A01D57/00,A01D63/00,A01F29/00,A01B39/00,B66B29/00,F01B25/00,F01C20/00,B41F1/00,E02F3/00,F02K9/00,B23Q11/00,A01D31/00</t>
  </si>
  <si>
    <t>A01D34/00,H02P3/00,D03D51/00,B60T8/00,F41A17/00,A01D34/00,F16D55/00,F16H39/00,B61C9/00,B64D35/00,A01D34/00,F16H61/00,H02K7/00,B62M6/00,A01B63/00,F41A17/00,A01D75/00,D03D51/00,A01D34/00,B26B21/00</t>
  </si>
  <si>
    <t>送液装置およびそれを用いた細胞培養装置</t>
  </si>
  <si>
    <t>C12M3/00</t>
  </si>
  <si>
    <t>C12M1/26</t>
  </si>
  <si>
    <t>【課題】新規な送液装置及びそれを用いた細胞培養装置の提供。 【解決手段】第１の液体を含む第１の容器１０２、第２の液体を含む第２の容器１１１、第１の液体及び第２の液体を入れる第３の容器１０８、第１の液体及び第２の液体を排出する第４の容器１２１、第３の液体を含む第５の容器１１７、第１の液体を送る第１の送液管１０５、第２の液体を送る第２の送液管１１２、第１の送液管中の第１の液体及び第２の送液管中の第２の液体を第３の容器に送る第３の送液管１０７、第３の送液管での送液を制御する為の第１の送液ポンプ１０６、第３の液体を第３の容器に送る為の第４の送液管１１６、第５の容器中の第３の液体を第４の送液管を通じて第３の容器に送る第５の送液管、第３の容器中の第１の液体を第４の送液管を通じて第４の容器に排出する第６の送液管１２２、第４の送液管での送液を制御する第２の送液ポンプ１１５、を備える、送液装置。</t>
  </si>
  <si>
    <t>B01F25/00,F17D1/00,B67D7/00,A61M39/00,B05B9/00,B65G53/00,F24S10/00,H01M50/00,A61M5/00,F16L39/00,B60R21/00,B60T11/00,B65D21/00,F25B41/00,G21C13/00,F16L47/00,G21C19/00,F16H47/00,H01H29/00,F04B1/00,F16H61/00,A61M60/00,F15B9/00,F04D29/00,F17D1/00,F04B43/00,F04F5/00,B67D7/00,F01P5/00,A61M5/00,F04F1/00,F04D25/00,F04D13/00,B65G53/00,G01G13/00,F01M1/00,F16D48/00,B05B9/00,H01M50/00,G01N30/00,B01F33/00,B01F25/00,B01F23/00,B01J8/00,B29B7/00,B05C3/00,B28C5/00,B05B7/00,B01F35/00,G05D11/00,B01F29/00,G01N30/00,B05B9/00,F17D1/00,B67D7/00,B28C7/00,A47L1/00,B65B29/00,B01J38/00,B07B9/00,A61M60/00,A61M5/00,B01F25/00,A61M1/00,H01M50/00,C12M1/00,B01D24/00,F04F5/00,B60S1/00,B05B7/00,B01D33/00,B01F27/00,G01N27/00,B65G53/00,A61B5/00,F27D3/00,G01P3/00,G01R33/00,B05C7/00,C12N15/00,G21F5/00,B65D21/00,G11B15/00,B67D7/00,B01F31/00,B01F29/00,B60K15/00,G21C13/00,A61M5/00,B01F35/00,H01L23/00,B01F27/00,A23B4/00,B65D77/00,B01D24/00,B08B9/00,B01J8/00,B65D41/00,B65D5/00,G21C3/00</t>
  </si>
  <si>
    <t>F17D1/00,A61M39/00,B01F25/00,F16L39/00,B67D7/00,A61M60/00,F04B43/00,F15B9/00,F04D29/00,F17D1/00,B01F33/00,B01F25/00,B01F23/00,G05D11/00,B01F35/00,C12M1/00,A61M5/00,A61M1/00,B01F25/00,A61M60/00,B65D21/00,B67D7/00,B01F29/00,B01F31/00,A61M5/00</t>
  </si>
  <si>
    <t>容器入り液状又はペースト状食品組成物、及びその製造方法</t>
  </si>
  <si>
    <t>【課題】水への分散性が特に優れた、容器入り液状又はペースト状食品組成物を提供する。 【解決手段】本発明は、α化していない澱粉、油脂及び水を含有する容器入り液状又はペースト状食品組成物であって、粒子径が５０μｍ以下の油滴を形成する油脂を２質量％以上含有することを特徴とする、容器入り液状又はペースト状食品組成物に関する。</t>
  </si>
  <si>
    <t>C09K8/00,G03C1/00,A23L29/00,A23L33/00,A23P10/00,C04B103/00,B41M5/00,B01F23/00,D06P1/00,B02C4/00,A23G9/00,C09D11/00,E01C19/00,H01G11/00,A23L7/00,C12G3/00,A61L9/00,C08J3/00,C10M169/00,A61K8/00,A23L7/00,A23L29/00,D21H23/00,C12C7/00,A23C9/00,A23L33/00,C09K8/00,C11D3/00,G03C1/00,A23F5/00,C01F7/00,A23G9/00,A23P10/00,A23K10/00,C08K9/00,A21D8/00,C08B30/00,A21D13/00,C08G59/00,C08K13/00,B01F23/00,C09K8/00,B22F1/00,A23P10/00,G01N33/00,C08J3/00,B01J2/00,B01F25/00,E01C19/00,H01F1/00,B05B1/00,C08J9/00,B01F101/00,C08G63/00,C03C25/00,A23G1/00,A23L33/00,C02F1/00,B01J19/00,C08F2/00,B65B25/00,A23L3/00,B65B55/00,B65B1/00,B65B3/00,A23C3/00,B65D85/00,B65B29/00,B65D81/00,A23B7/00,B01F29/00,B65B39/00,B65D51/00,A23P20/00,B65D77/00,B65B5/00,A23G9/00,B65B43/00,B65B31/00,A23B4/00</t>
  </si>
  <si>
    <t>A23L29/00,A23L33/00,A23P10/00,B01F23/00,B02C4/00,A23L7/00,A23L29/00,A23L33/00,A23C9/00,A23F5/00,B01F23/00,A23P10/00,C08J3/00,B01J2/00,B01F25/00,B65B25/00,A23L3/00,B65B55/00,B65B3/00,B65D85/00</t>
  </si>
  <si>
    <t>アルコール飲料添加用の花の製造方法、アルコール飲料の製造方法、及び容器入りアルコール飲料</t>
  </si>
  <si>
    <t>A23L19/00</t>
  </si>
  <si>
    <t>C12G3/00;C12G3/04</t>
  </si>
  <si>
    <t>【課題】短時間でアルコール飲料添加用の花を製造する。 【解決手段】本発明のアルコール飲料添加用の花の製造方法は、アルコール水溶液、及び糖類を含有する処理液体に、生花を浸漬した状態で、減圧下にて加熱して、処理液体を生花に含浸させる。生花は、カロチノイド色素を含有する花、及び／又は白色の花であることが好ましい。減圧下にて加熱する処理液体の温度は、４０〜８３℃が好ましい。加熱時間は、２〜３０分間が好ましい。例えば、この製造方法によれば、数日でアルコール飲料添加用の花を製造することができ、従来の６ヶ月以上を要していた製造方法よりも非常に短時間で、有益である。</t>
  </si>
  <si>
    <t>A23L2/00,C12G3/00,C09K8/00,H01J1/00,B01F101/00,A23K10/00,A23G1/00,C09D1/00,A47J31/00,A23F5/00,A23L29/00,A23F3/00,C12G1/00,H01J19/00,B22D41/00,C08K9/00,C07B63/00,A23L7/00,D21H17/00,D06M14/00,H01L21/00,B01J38/00,B09B3/00,C10G67/00,C23C22/00,A23L3/00,A47J31/00,B05C3/00,F26B3/00,B28B21/00,B29C70/00,C21D1/00,D06M23/00,A23B9/00,C03C25/00,H01C17/00,F28B3/00,C12C1/00,G21C19/00,C01F7/00,G03C7/00,C09K8/00,A23F3/00,C08K9/00,C12G3/00,C08J11/00,C23C22/00,B05C3/00,C12G1/00,C12C7/00,C10G53/00,B05C1/00,A23F5/00,B29C70/00,C12N1/00,D06M23/00,B01J38/00,C01F7/00,C03B18/00,D06B23/00,A23F3/00,C12G1/00,H01M4/00,C12G3/00,A23L2/00,C08J9/00,A23F5/00,C12F3/00,C10G53/00,C10G65/00,C12C7/00,C08G69/00,D21H23/00,B23F9/00,C01B17/00,C04B35/00,D06M23/00,C01F7/00,B09B3/00,C01B25/00</t>
  </si>
  <si>
    <t>C12G3/00,A23L2/00,A47J31/00,B01F101/00,A23K10/00,A23L3/00,F26B3/00,B05C3/00,A47J31/00,C23C22/00,C12G3/00,A23F3/00,C12C7/00,C09K8/00,C08K9/00,C12G3/00,A23F3/00,C12G1/00,A23L2/00,C12F3/00</t>
  </si>
  <si>
    <t>ペット用食事管理システム</t>
  </si>
  <si>
    <t>A01K29/00</t>
  </si>
  <si>
    <t>A01K11/00;A01K5/02</t>
  </si>
  <si>
    <t>【課題】   餌の重量の変化によってペットの個体別に食事量を記録し、前記個体に最適な食事量を算出するペット用食事管理システムを提供すること。 【解決手段】   ペットによって使用される食器に入っている食事の重量と、食器の動きと、を取得し、前記食器の動きのパターンに基づいて、前記食器を使用したペットの個体の特定を行い、食器内の餌の重量の変化に基づいて、前記個体判別手段によって特定された個体による食事量の記録を行う、ペット用食事管理システムを提供する。</t>
  </si>
  <si>
    <t>G01G19/00,G01G23/00,G01G13/00,B07C5/00,B65B1/00,G01G1/00,G01G3/00,G01N9/00,G01G21/00,A01K39/00,G01G17/00,G01G11/00,G01G15/00,G07F15/00,G01N29/00,F02M69/00,G07D11/00,A01K97/00,G01N5/00,G01V7/00,G11B27/00,G11B15/00,B60T8/00,G06V10/00,B23Q35/00,G01V8/00,H04N19/00,H01H19/00,G01G19/00,E05B81/00,G06V20/00,A63F13/00,A47G19/00,G11B19/00,G01N29/00,G06F18/00,B26D5/00,G06F3/00,G01C19/00,B41J33/00,H04H60/00,G11B27/00,C40B20/00,G01P3/00,G01S13/00,G11B15/00,G06K21/00,A47G19/00,H04W12/00,A47G23/00,A61B5/00,G06T7/00,G01N27/00,G01L3/00,G08G1/00,G06V30/00,G06K7/00,G01V8/00,G01N29/00,G11B23/00,G06F119/00,G01G19/00,B07C5/00,G01G23/00,F01K7/00,A01K61/00,B65B3/00,A61B5/00,G01D9/00,G06Q10/00,G01G13/00,F01L31/00,A01M29/00,H04L67/00,H04N21/00,A63F13/00,A61M60/00,G01G1/00,D06F58/00,A23L33/00</t>
  </si>
  <si>
    <t>G01G19/00,G01G13/00,G01G3/00,G01G23/00,A01K39/00,G06V10/00,G01G19/00,G01V8/00,G11B27/00,H01H19/00,C40B20/00,G01P3/00,A47G19/00,G06K21/00,A47G23/00,G06F119/00,G01G19/00,G01D9/00,A61B5/00,G06Q10/00</t>
  </si>
  <si>
    <t>コンバイン</t>
  </si>
  <si>
    <t>A01F12/60</t>
  </si>
  <si>
    <t>【課題】ロードセルを用いてグレンタンク重量を検出する際に、グレンタンクの重量が安定的に作用するようにして穀物重量の検出精度が低減することを回避できるようにする。 【解決手段】機体フレーム上に搭載される穀物貯留用のグレンタンク５と、グレンタンク５が載置されて、グレンタンク５に貯留された穀粒の重量を計測するロードセル６０と、ロードセル６０を載置支持する載置支持部と、が備えられたコンバイン。</t>
  </si>
  <si>
    <t>B60K15/00,B64D37/00,F02K1/00,G21C3/00,C12C1/00,A01F12/00,G07F11/00,C10J3/00,D21D5/00,G11B23/00,B63J2/00,B62D33/00,B65D25/00,G21F5/00,B63B25/00,F24B1/00,B63B43/00,F22B9/00,G03D13/00,G21C19/00,G01G19/00,G01G13/00,G01G23/00,B07C5/00,G01G3/00,B65B1/00,B65G67/00,G01G1/00,G01G11/00,B62B1/00,G01G17/00,C12C1/00,A01F12/00,G01G15/00,F41A9/00,G21C19/00,B65G69/00,B65G65/00,G07D11/00,G01V7/00,B60P1/00,B65H39/00,B62B1/00,F16M11/00,B65G17/00,B41F13/00,E21D15/00,G11B3/00,G09B1/00,G21C3/00,G11B5/00,B63B27/00,B61F5/00,B65D19/00,G11B15/00,E02F9/00,H05K7/00,F16D65/00,A47C1/00,E04B1/00,G01G19/00,G01G13/00,G01G23/00,B07C5/00,G01G1/00,G01G3/00,A01F12/00,G01G11/00,B65B1/00,G01G21/00,C12C1/00,G01G15/00,G01F1/00,B63B25/00,G01P3/00,B63B43/00,F16D43/00,G01M1/00,A01D41/00,B66F9/00</t>
  </si>
  <si>
    <t>B60K15/00,A01F12/00,B64D37/00,C12C1/00,G21C3/00,G01G19/00,G01G13/00,G01G23/00,G01G3/00,B07C5/00,F16M11/00,B60P1/00,E21D15/00,B62B1/00,B65G17/00,G01G19/00,G01G13/00,G01G23/00,G01G3/00,A01F12/00</t>
  </si>
  <si>
    <t>クランプユニット及びこれを備える透析装置</t>
  </si>
  <si>
    <t>A61M1/16</t>
  </si>
  <si>
    <t>【課題】チューブの閉塞を判定するために、チューブを安定して保持できるクランプユニット及びこれを備える透析装置を提供すること。 【解決手段】クランプユニット６０は、ユニット本体６１と、ユニット本体６１を開閉する蓋部６２と、を備え、蓋部６２の閉鎖時に、ユニット本体６１と蓋部６２との間に配置される液体が流通するチューブをクランプするクランプ部６５と、チューブが配置されるチューブ配置部６１１，６２１においてクランプ部６５に並んで配置され、チューブからの圧力による荷重を検出する荷重検出部６６と、を備える。</t>
  </si>
  <si>
    <t>E04G7/00,B65D5/00,G01C19/00,F16L37/00,F16D1/00,F16L3/00,A45D2/00,A61B17/00,B65D43/00,B65D35/00,B27G13/00,A45D6/00,A44B11/00,A61F2/00,B21D26/00,B65H29/00,F16D13/00,B23Q1/00,H01R33/00,B42F13/00,G01F1/00,F16L55/00,E21B47/00,F16D55/00,B67D7/00,G01P5/00,G01D5/00,B65G51/00,B65D75/00,B65G53/00,F16L37/00,B60R21/00,F15B21/00,H01M8/00,E03C1/00,G05D11/00,F25B41/00,F01D11/00,F16T1/00,G01N21/00,G01L5/00,G01G19/00,G01F1/00,G01G3/00,F16F1/00,A61M60/00,G01L13/00,E21D15/00,E21B47/00,B21B38/00,G01L23/00,G01G11/00,G01N11/00,F16C19/00,F16B31/00,G01L21/00,G01G23/00,B21B19/00,H01J41/00,G11B15/00,A61M60/00,B01D35/00,G01C19/00,A61F2/00,F16L55/00,G01F1/00,A61B50/00,F41A9/00,B01D33/00,B01D25/00,F02B13/00,D01H7/00,B65D55/00,D05C15/00,A23G3/00,B41J13/00,B01D29/00,F23K3/00,F02M37/00,D06F29/00</t>
  </si>
  <si>
    <t>F16L3/00,A61B17/00,F16L37/00,B65D35/00,B65D43/00,G01F1/00,F16L55/00,G01P5/00,G01D5/00,B65G51/00,G01L5/00,G01G19/00,G01F1/00,G01G3/00,G01L13/00,A61M60/00,A61F2/00,A61B50/00,F16L55/00,G01F1/00</t>
  </si>
  <si>
    <t>遊技機</t>
  </si>
  <si>
    <t>A63F5/04</t>
  </si>
  <si>
    <t>A63F7/02</t>
  </si>
  <si>
    <t>【課題】演出に関する設定について改良した遊技機を提供することを目的とする。 【解決手段】この遊技機は、メニュー状態を経由して制御された音量設定状態は、時間の経過で終了するため、いつまでも音量設定画像が液晶表示器５１に表示され続けることを防止することができ、さらに、遊技状態から直接的に制御された音量設定状態も、時間の経過で終了するため、いつまでも音量設定画像が液晶表示器５１に表示され続けることを防止することができる。</t>
  </si>
  <si>
    <t>A63F13/00,B61G1/00,G05B19/00,B01D61/00,B60K35/00,B60W50/00,G06F3/00,H03G9/00,D06F33/00,B61L3/00,H05G1/00,H02M7/00,H04M1/00,B64D25/00,B64G1/00,G11B19/00,B23Q15/00,B23B39/00,H04N23/00,D06F34/00,F16H61/00,B01D61/00,A63F13/00,H03G3/00,H03G9/00,F04D29/00,F41A25/00,F41A23/00,H02M7/00,H04M1/00,G10H1/00,F01N3/00,G05F1/00,H03J7/00,B60T8/00,G11B3/00,F41A21/00,G03B7/00,H03G1/00,G10L21/00,G04C23/00,H03J7/00,H01H43/00,A63F13/00,D06F33/00,G09F11/00,G06F1/00,G01S3/00,B67D7/00,H03G3/00,B61G1/00,F23N5/00,G03B7/00,H04M15/00,H02P8/00,G11B19/00,F02M7/00,H04W24/00,B66D1/00,H02H3/00,A63F13/00,H01J31/00,G09G5/00,H04N1/00,B60K35/00,H04N25/00,H04N13/00,G01S7/00,H04N23/00,G03G15/00,G09G3/00,H10K59/00,G06F3/00,G04G9/00,G08G1/00,F41J5/00,G09G1/00,H04N9/00,G06V30/00,G11B7/00</t>
  </si>
  <si>
    <t>A63F13/00,G05B19/00,G06F3/00,H03G9/00,B60K35/00,A63F13/00,H03G3/00,H03G9/00,H04M1/00,H02M7/00,G04C23/00,H01H43/00,A63F13/00,G06F1/00,G09F11/00,A63F13/00,G09G5/00,H01J31/00,H04N13/00,H04N1/00</t>
  </si>
  <si>
    <t>【課題】電気部品が意図せずに動作してしまうことを防止できる遊技機を提供すること。 【解決手段】シリアル／パラレル変換回路１には、該変換回路を動作させるための電源Ｖ ＣＣが接続されるとともに、該電源ＶＣＣは、シリアル制御信号１及びクロック信号１の 信号線のノイズを除去するためのノイズ除去回路１及びパラレル制御信号１、２の信号線 の電圧をプルアップさせるプルアップ抵抗１に接続されており、電源ＶＣＣは、２本の電 源線（ＶＣＣ１及びＶＣＣ２）を介して供給される。</t>
  </si>
  <si>
    <t>H03M1/00,H04N5/00,A63F13/00,G06F7/00,H04N25/00,H04N9/00,H04L25/00,H03F3/00,G01R31/00,H04L27/00,H04Q1/00,H04B1/00,H03K17/00,H04N1/00,G06F3/00,G11C16/00,H02M1/00,G11C11/00,H04N11/00,A01B3/00,H04N9/00,H03K17/00,H04N5/00,H04N25/00,H04B1/00,G11C16/00,H04M1/00,H04B3/00,H04N1/00,H04N23/00,G08B29/00,G11C11/00,H04L27/00,H02M1/00,H05B41/00,A63F13/00,H02J3/00,G10L21/00,H01F27/00,H03K21/00,G05F1/00,H03K17/00,G11C11/00,G05B19/00,G01R31/00,G09F11/00,F16H61/00,H01R12/00,H03K3/00,H04N5/00,H05B45/00,H02M7/00,H05B41/00,H04N25/00,G08B29/00,G01F1/00,F02D41/00,H02M1/00,H03K21/00,G11C16/00,H02J3/00,H03K17/00,B60L9/00,G05F1/00,H02P27/00,H02M1/00,B60L1/00,H04Q3/00,G01R31/00,H02J1/00,H02J9/00,H01Q5/00,G06F1/00,H04N25/00,A63F13/00,H05C1/00,H02M3/00,G06G7/00,G06F9/00,G04G19/00,H03K17/00,F16H61/00,G06F21/00,G05G5/00,B60W50/00,H05B41/00,H02H5/00,H05B47/00,H01R13/00,H04M3/00,D01H13/00,H02M1/00,B60D1/00,F41A17/00,F16F15/00,G01R11/00,B60L15/00,F16P7/00,G05D1/00,H01H71/00</t>
  </si>
  <si>
    <t>G06F7/00,H03M1/00,H04L25/00,A63F13/00,G01R31/00,H03K17/00,H04B1/00,H04B3/00,H04N9/00,H04N5/00,H03K17/00,H03K3/00,G05F1/00,H01R12/00,G05B19/00,H02J3/00,H02J1/00,H03K17/00,G05F1/00,H02M1/00,H03K17/00,H02H5/00,G05G5/00,H01R13/00,G06F21/00</t>
  </si>
  <si>
    <t>【課題】従来とは異なる態様で遊技状態を移行させることで、遊技の幅を広げることができる遊技機を提供する。 【解決手段】遊技区間は、ＡＲＴを実行可能な有利区間と、ＡＲＴを実行できない通常区間と、を含み、ＡＲＴ制御手段は、ＡＲＴの実行権利を得たときに、非ＡＲＴ中であればＡＲＴを開始し、ＡＲＴ中であれば当該実行権利をストックするように構成されている。また、有利区間の終了後に移行する遊技状態には、実行権利のストック数が関連付けられている。</t>
  </si>
  <si>
    <t>A63F13/00,G05B19/00,G05D1/00,B60T8/00,H02P1/00,H02M7/00,G21C7/00,B60W10/00,B61L27/00,B60W20/00,H04Q3/00,F21V29/00,B60L1/00,E05B81/00,G05D13/00,H03J7/00,H02M5/00,F01D11/00,C01B3/00,H02P7/00,G05D1/00,H04N21/00,G09F11/00,G05B19/00,A63F13/00,B60L15/00,F15B9/00,E05B81/00,G11B15/00,B60W30/00,G11B19/00,B60W50/00,B61G1/00,G04C23/00,G11B3/00,H03K17/00,G01G19/00,H04N5/00,B27F7/00,F42B19/00,H04N21/00,G06F21/00,H04H60/00,F15B9/00,H04L47/00,H04W16/00,G06F13/00,G06Q10/00,G07D11/00,G11B11/00,E04B2/00,F24F120/00,G06V10/00,H04N1/00,H04N19/00,H04L41/00,G01G19/00,G06F9/00,G01R22/00,B23B31/00,A63F13/00,H04N19/00,A63F7/00,C03B9/00,H04N25/00,G06V10/00,G06V30/00,H04N21/00,A63F9/00,H04W72/00,G10L21/00,H04H20/00,G06T7/00,B05B12/00,H01L21/00,G06F21/00,H03M13/00,A61F13/00,H04L67/00,B60Q3/00</t>
  </si>
  <si>
    <t>A63F13/00,G05B19/00,A63F13/00,G05B19/00,G09F11/00,H04N21/00,G05D1/00,G06Q10/00,G06F13/00,G06F21/00,G07D11/00,H04N21/00,A63F13/00,A63F7/00,A63F9/00,H04N19/00,H04N21/00</t>
  </si>
  <si>
    <t>ゲームシステム</t>
  </si>
  <si>
    <t>A63F13/493</t>
  </si>
  <si>
    <t>A63F13/79;A63F13/70;A63F13/49;A63F13/792;A63F13/26</t>
  </si>
  <si>
    <t>【課題】予約しているプレイヤを、待ち時間に、他のゲーム機でプレイするように促すゲームシステムを提供する。 【解決手段】ゲームシステム１、店舗内に配置されたゲーム機１０，ゲーム機２０と、ゲーム機１０のプレイ中において、次回以降のゲーム機１０のプレイの予約を予約ＩＤによって識別可能に受け付ける予約管理部４６ａとを備え、予約管理部４６ａは、ゲーム機１０でプレイが終了したことに応じてゲーム機２０でのプレイを中断し、予約ＩＤの入力に応じて、予約されたプレイをゲーム機１０で実行可能にし、予約ＩＤの入力に応じて、中断されたプレイをゲーム機２０で再開可能にする。</t>
  </si>
  <si>
    <t>A63F13/00,H04M1/00,H04N21/00,C03B9/00,H04L41/00,G05B19/00,H04L47/00,G06Q10/00,H04L67/00,H04W92/00,G06Q20/00,B60T11/00,G11B17/00,B23B31/00,H04W12/00,A63F7/00,B61G1/00,H01S3/00,H04H20/00,H04H60/00,A63F13/00,H04H20/00,H04L67/00,H02P5/00,H01R13/00,H04Q3/00,H04M1/00,H04W88/00,G06F15/00,H04H60/00,G01F1/00,H01H31/00,H03H7/00,H03H9/00,H01H33/00,H04B1/00,G05B11/00,H10K59/00,F15B11/00,H02M7/00,A63F13/00,G08B5/00,G05D1/00,D03D51/00,H04L67/00,H02P8/00,G11B11/00,G06F13/00,H01H43/00,H04W36/00,E06B9/00,H01H71/00,H01H73/00,H04N21/00,G06F1/00,H04L41/00,H03K17/00,B66B1/00,H04N1/00,H01M8/00,A63F13/00,H04L67/00,H04M3/00,H04L65/00,H04N21/00,H04W68/00,G06F13/00,H04M1/00,H04L51/00,H04L41/00,G08G1/00,H04L47/00,H04W4/00,A63F7/00,H04H60/00,H04L45/00,G07F17/00,B64U70/00,G01S19/00,G09G5/00</t>
  </si>
  <si>
    <t>A63F13/00,G06Q10/00,H04N21/00,G05B19/00,H04L41/00,A63F13/00,H04L67/00,G06F15/00,H04W88/00,H04Q3/00,A63F13/00,G11B11/00,G06F13/00,H04L67/00,H04W36/00,A63F13/00,H04W68/00,H04L67/00,H04L65/00,H04N21/00</t>
  </si>
  <si>
    <t>洗濯物干し具</t>
  </si>
  <si>
    <t>D06F57/00</t>
  </si>
  <si>
    <t>【課題】  多くの衣服ハンガーを識別性良く吊り下げることができ、且つ、吊り下げられた衣服ハンガーの下端部が地面に接触し難い洗濯物干し具を提供する。 【解決手段】  本発明の洗濯物干し具１０は、物干し竿３に吊り下げ可能な吊り部１３をそれぞれ有する一対の本体部材１と、前記一対の本体部材１に架設された第１架橋桿２１と、前記一対の本体部材１に架設され且つ前記第１架橋桿２１から間隔を空けて配置された第２架橋桿２２と、を有し、前記吊り部１３が、前記第１架橋桿２１と前記第２架橋桿２２の間に配設されており、前記吊り部１３を前記物干し竿３に吊り下げた際、前記第１架橋桿２１が前記第２架橋桿２２よりも上方に位置するように構成されている。</t>
  </si>
  <si>
    <t>A47G25/00,D06F58/00,A47H1/00,D06F33/00,A47K10/00,E04G1/00,D06F5/00,D06F53/00,A41D27/00,B42F15/00,E04H17/00,E02D7/00,A41F11/00,B66C1/00,E21D15/00,B65H75/00,A47F7/00,B65D63/00,F16L3/00,D06F1/00,A47G25/00,F16L37/00,A45C13/00,A47F7/00,B66C1/00,B65H3/00,E01F9/00,A41F11/00,D06F71/00,B41L3/00,B65B67/00,B65B13/00,D06F33/00,H01R4/00,B65D77/00,D01H13/00,A63C10/00,A47B88/00,H01R33/00,D01G15/00,A47G25/00,H01R13/00,A41F11/00,D06F33/00,A61F13/00,A41F3/00,H02B1/00,B65D25/00,A45F5/00,D05B27/00,A41F17/00,E05C17/00,G07F11/00,H01R33/00,E04G3/00,A41H9/00,F24S25/00,H01R4/00,A43B21/00,A47F7/00,E06C1/00,E04G1/00,E01D15/00,H02M7/00,E04B2/00,C07C13/00,F16H15/00,B64C9/00,E01D19/00,F24S25/00,F04B1/00,F04F5/00,H04L5/00,B65G21/00,E04G17/00,F16S3/00,E05C17/00,A61K31/00,E01B11/00,F16D3/00</t>
  </si>
  <si>
    <t>A47G25/00,D06F53/00,D06F58/00,D06F5/00,A47H1/00,A47G25/00,A47F7/00,A41F11/00,D06F71/00,B65H3/00,A47G25/00,A41F11/00,A41F3/00,D06F33/00,A45F5/00,E06C1/00,E04G1/00,E01D15/00,E01D19/00,E04B2/00</t>
  </si>
  <si>
    <t>【課題】演出を好適に行うことが可能な遊技機を提供すること。 【解決手段】スロットマシン１０は、スピーカ装置６４による音演出が、各音源ＩＣによる音生成処理によって生成される音により行われる。各音源ＩＣにおいて、音生成処理は１０ｍｓｅｃ周期で更新され、所定の音情報に基づいて音の生成を行う。サブ制御装置は、音生成処理の更新周期と音演出を開始させるべき開始タイミングとのズレが生じている場合、当該ズレに相当する期間に亘って遊技者が把握困難又は把握不可となる音の生成が行われるように、音生成処理に用いられる音情報を設定する。</t>
  </si>
  <si>
    <t>A63F13/00,G10H1/00,B60K35/00,H03G9/00,G10L13/00,H03K17/00,G05B19/00,H02M7/00,H03G3/00,H04H60/00,H01S3/00,B64G1/00,B23H7/00,G10K11/00,B61G1/00,G11B19/00,G10L25/00,H02M5/00,G04C21/00,G05F1/00,H03J7/00,H03L7/00,G10H1/00,A63F13/00,H04N9/00,H04N5/00,H04N21/00,H03G9/00,G10L13/00,G01S7/00,H04M1/00,H02M7/00,G10L19/00,H01S3/00,G01S13/00,G04C23/00,H03G3/00,H03K5/00,H01H43/00,H04N13/00,H04N5/00,G10H1/00,H04N23/00,H04N21/00,G04C21/00,A63F13/00,G10L21/00,H03L7/00,G01R11/00,G04C23/00,H04N9/00,H03B5/00,G01K7/00,H04L47/00,H03M1/00,H03K5/00,H03D3/00,F16H1/00,G01C19/00,G01V1/00,A63F13/00,G10H1/00,H03G9/00,B60K35/00,H04N1/00,H01S3/00,H04N23/00,H03G3/00,G10L21/00,H04N5/00,G05B11/00,H03K3/00,B60W50/00,G10K11/00,G10K15/00,G21C7/00,H04N25/00,H03M1/00,G01F1/00,H03G1/00</t>
  </si>
  <si>
    <t>A63F13/00,G10H1/00,H03G9/00,G10L13/00,H03G3/00,H03L7/00,H03J7/00,G10H1/00,H03G9/00,A63F13/00,G10H1/00,G10L21/00,A63F13/00,H03L7/00,G04C21/00,A63F13/00,G10H1/00,H03G9/00,G10L21/00,H03G3/00</t>
  </si>
  <si>
    <t>医療用撮像装置</t>
  </si>
  <si>
    <t>A61B1/04</t>
  </si>
  <si>
    <t>G02B23/24;A61B1/00</t>
  </si>
  <si>
    <t>【課題】小型化及び軽量化を図りつつ、利便性の向上を図ることが可能な撮像装置を提供する。 【解決手段】医療用撮像装置５は、外装を構成するケーシング１１と、ケーシング１１内に収納され、被写体像を撮像する撮像部２１と、ケーシング１１の外面に回転可能に設けられた操作リング１４と、操作リング１４の回転を検知する検知部１７と、検知部１７の検知結果に基づいて、操作リング１４の回転方向及び回転量を算出する操作算出部２３２と、操作算出部２３２にて算出された操作リング１４の回転方向及び回転量に応じた第１の機能または第２の機能を実行する機能実行部２３３と、機能実行部２３３にて実行させる機能を第１の機能または第２の機能に切り替える機能切替部２３１とを備える。</t>
  </si>
  <si>
    <t>A61B6/00,H04N23/00,H05G1/00,A61M60/00,F01D25/00,H01H85/00,G03B17/00,H05K7/00,H01R13/00,A61B50/00,H04N5/00,H02K5/00,G16H30/00,D05B73/00,F16J15/00,G12B9/00,G03C5/00,B64C1/00,B64U20/00,H05K5/00,H04N23/00,G03B17/00,H04N1/00,H04N13/00,G02B9/00,G03G15/00,H04N5/00,G03C8/00,G03B27/00,G11B7/00,G03B15/00,B41B15/00,H04N25/00,G02B27/00,G01C11/00,G02F1/00,G03B19/00,H05G1/00,G03B7/00,G03B35/00,E05F15/00,H01H19/00,B43K24/00,H01H73/00,F16D1/00,H01H3/00,E05F11/00,F16L37/00,D01H7/00,E05D15/00,B65H51/00,G08B5/00,B65D41/00,H01H31/00,F41A3/00,H01H13/00,G05G1/00,E04H6/00,B24B39/00,A63H1/00,G01C19/00,H02P21/00,H01H19/00,F16H21/00,G01S3/00,B41J33/00,B28B1/00,B01F27/00,G05G1/00,G01S1/00,B65H49/00,H02K11/00,H02P8/00,G01L3/00,B65H51/00,D06F49/00,H02P23/00,H03J5/00,D05B27/00,A46B7/00,E05F15/00,H01H41/00,G04C23/00,H02M7/00,H01H19/00,B43K24/00,F16L37/00,H01H73/00,H01H3/00,H01H13/00,D01H7/00,G06F3/00,B41J33/00,B28B1/00,H01H81/00,E04H6/00,F01L9/00,H02P21/00,H02M1/00,A63H1/00</t>
  </si>
  <si>
    <t>A61B6/00,H04N23/00,G03B17/00,H05K7/00,A61B50/00,H04N23/00,G03B17/00,H04N5/00,G02B9/00,H04N13/00,H01H19/00,H01H3/00,F16D1/00,E05F15/00,B43K24/00,G01C19/00,H01H19/00,G05G1/00,G01S3/00,H02P21/00,H01H41/00,H01H19/00,H01H3/00,H01H13/00,E05F15/00</t>
  </si>
  <si>
    <t>【課題】技量に自信を持っている遊技者にとっても興趣に富んだ遊技機を提供すること。 【解決手段】第１の役が内部当籤役として決定された場合において特定の図柄表示手段に対する停止操作が第１のタイミングで行われた場合、特定の図柄表示手段において複数の図柄が第１の態様で停止表示され、その後第１の図柄組合せを停止表示させることができる。第２の役が内部当籤役として決定された場合において当該停止操作が第１のタイミングで行われた場合、特定の図柄表示手段において複数の図柄が第２の態様で停止表示され、その後第２の図柄組合せを停止表示させることができる。第３の役が内部当籤役として決定された場合において当該停止操作が第２のタイミングで行われた場合、特定の図柄表示手段において複数の図柄が第１の態様で停止表示され、その後第１の図柄組合せを停止表示させることができる。</t>
  </si>
  <si>
    <t>G05B19/00,G09G5/00,A63F13/00,B60K35/00,A63F7/00,G06F3/00,H03K17/00,G05G5/00,D06F34/00,G11B15/00,G05B11/00,F24F11/00,G09G1/00,G06M1/00,B23B31/00,G01S7/00,D05B19/00,H02P8/00,H04N25/00,G07D7/00,A63F13/00,H01H43/00,D03D51/00,G04C23/00,H02P8/00,H04M1/00,A63F7/00,D06F105/00,B65B57/00,H01H7/00,H03K17/00,B41J21/00,B62M6/00,G01S7/00,G04F8/00,F41A3/00,G06F1/00,D05B69/00,G04F7/00,F02D11/00,A63F7/00,A63F13/00,G01S3/00,A63F9/00,C03B9/00,H03K17/00,F41J5/00,G11B19/00,D06F13/00,A63F3/00,B62M6/00,B30B11/00,G06C9/00,G05B19/00,F16H61/00,B65H19/00,B65H23/00,G07G1/00,B21D19/00,G06F9/00,A63F13/00,A63F7/00,H02M3/00,G05B19/00,F15B9/00,E05B81/00,H01S3/00,F24H15/00,B60T8/00,H03G3/00,B23Q15/00,F24F11/00,B60W30/00,B60W10/00,H02M7/00,B61G1/00,B23B39/00,B60G17/00,H04H60/00,H02M5/00</t>
  </si>
  <si>
    <t>A63F13/00,G09G5/00,G05B19/00,A63F7/00,G06F3/00,A63F13/00,A63F7/00,H01H43/00,G04C23/00,H01H7/00,A63F7/00,A63F13/00,A63F9/00,A63F3/00,F41J5/00,A63F13/00,A63F7/00,G05B19/00,F15B9/00,H03G3/00</t>
  </si>
  <si>
    <t>パンツタイプ使い捨ておむつ</t>
  </si>
  <si>
    <t>A61F13/49</t>
  </si>
  <si>
    <t>【課題】臀部カバー部の角が目立つ等により外観が悪化するのを防止する。 【解決手段】上記課題は、後側外装体１２Ｂにおける臀部カバー部Ｃには、幅方向ＷＤに沿う細長状のカバー部弾性部材１６ａ〜１６ｃが前後方向ＬＤに間隔を空けて３本以上設けられており、臀部カバー部Ｃはカバー部弾性部材１６ａ〜１６ｃにより幅方向中央側に収縮しており、最もウエスト開口ＷＯ側に位置するカバー部弾性部材１６ａは、臀部カバー部Ｃにおけるウエスト開口ＷＯ側の端部に配置されるとともに、最も脚開口ＬＯ側に位置するカバー部弾性部材１６ｃは、臀部カバー部Ｃにおける脚開口ＬＯ側の端部に配置されており、最もウエスト開口ＷＯ側に位置するカバー部弾性部材１６ａとウエスト開口ＷＯ側から数えて２本目のカバー部弾性部材１６ｂとの中心間隔をｄとし、臀部カバー部Ｃの前後方向長さをｄとしたとき、ｄ＞０．５ｄであることにより解決される。</t>
  </si>
  <si>
    <t>A61F13/00,B65D5/00,A47C17/00,B60R21/00,A47C7/00,B65H75/00,B65D88/00,A47K13/00,B64C1/00,B62J6/00,G04C23/00,F16K3/00,B29C63/00,B64C9/00,A01B63/00,E04F13/00,B61F1/00,G01B3/00,B62J13/00,B64C3/00,A47C7/00,F16D3/00,B60R21/00,A47C23/00,F16F15/00,H01R13/00,B62J1/00,B60G15/00,F16F1/00,F16C1/00,B64C25/00,B60N2/00,F41A3/00,B60G3/00,B62D1/00,E04F13/00,B65D81/00,B66F3/00,B65D88/00,H01H1/00,B60R21/00,B65D41/00,A47K13/00,F16L33/00,F16D65/00,B60R22/00,E04G7/00,F16L55/00,A61F13/00,F16K3/00,F41A3/00,E05F15/00,A47C1/00,F16L37/00,B65D5/00,B41J19/00,B62M9/00,B28B21/00,B65D90/00,E21B1/00,B65D5/00,B65D17/00,B65B43/00,G03B9/00,A47B57/00,E06B3/00,H01R13/00,A61F13/00,B65D88/00,H02B1/00,D03D47/00,B65D50/00,B65D41/00,H01M50/00,B65D51/00,B65D39/00,B60R21/00,E06B1/00,B65D71/00,B21D26/00</t>
  </si>
  <si>
    <t>A61F13/00,A47C17/00,A47C7/00,A47K13/00,B65D5/00,A47C7/00,A47C23/00,B62J1/00,F16F1/00,B60G15/00,A61F13/00,B65D41/00,A47K13/00,F16L33/00,B60R21/00,A61F13/00,B65D17/00,B65B43/00,E06B3/00,B65D5/00</t>
  </si>
  <si>
    <t>靴</t>
  </si>
  <si>
    <t>A43B3/18</t>
  </si>
  <si>
    <t>【課題】オーバーシューズの持参の忘れを抑制しつつ、よりスムーズにオーバーシューズを着脱できるようにした靴を提供する。 【解決手段】靴本体と、オーバーシューズユニットと、を備えた靴が提供される。前記靴本体は、人体の足に装着可能である。前記オーバーシューズユニットは、前記靴本体の外面に取り付けられる。前記オーバーシューズユニットは、収納空間を有する収納部と、前記収納空間内において前記収納部に取り付けられたオーバーシューズと、を有する。前記収納部は、前記オーバーシューズを前記収納空間内に収納可能であるとともに、前記オーバーシューズを前記収納空間に出し入れするための開口部を有する。前記オーバーシューズは、前記収納空間から取り出した状態において、前記靴本体の底部を覆うように前記靴本体に取り付け可能である。</t>
  </si>
  <si>
    <t>A43B7/00,A43D3/00,A63C10/00,A63C11/00,A43D100/00,A43D11/00,A43B13/00,A43D25/00,F41A3/00,H02K5/00,A43B9/00,B64C25/00,A43D1/00,B62D43/00,F24F1/00,A47G25/00,A47L23/00,B64D27/00,D01H7/00,F41A15/00,A63C9/00,A43D25/00,A43B7/00,A43D11/00,A43D3/00,A43D100/00,A63C1/00,A43D1/00,A47L23/00,A63C11/00,A47G25/00,A63C10/00,A43D21/00,A43B13/00,A43D95/00,B63B19/00,B60R22/00,G05G1/00,H01M50/00,A43B9/00,A43B7/00,A43D3/00,A63C10/00,A63C1/00,A43D1/00,A43B9/00,B65D21/00,A47L23/00,A43B3/00,B65D75/00,B62B3/00,A43D11/00,A43D100/00,A43B13/00,B65B19/00,A41B11/00,B65D77/00,A63C11/00,A43D25/00,A47G25/00,A43B7/00,A43D3/00,A43B9/00,A47L23/00,A43B3/00,A41B11/00,A63C10/00,A43D21/00,A63C9/00,A43D1/00,A63C11/00,A43D100/00,B60R22/00,A43D11/00,A63C1/00,A61F5/00,A43D25/00,A43B17/00,A61F13/00,D03D45/00</t>
  </si>
  <si>
    <t>A43B7/00,A43D11/00,A43D100/00,A43B13/00,A43D3/00,A43D11/00,A43B7/00,A43D100/00,A43D25/00,A47L23/00,A43B7/00,A43B9/00,A43B3/00,B65D21/00,B65D75/00,A43B7/00,A43B3/00,A43B9/00,A43D3/00,A47L23/00</t>
  </si>
  <si>
    <t>吸込口体および電気掃除機</t>
  </si>
  <si>
    <t>A47L9/02</t>
  </si>
  <si>
    <t>A47L9/04</t>
  </si>
  <si>
    <t>【課題】ケース体の側部から塵埃を吸込口へと効果的に吸い込むことができる床ブラシおよびこれを備えた電気掃除機を提供する。 【解決手段】床ブラシ30は、ケース体35と、３つ以上の接地部40と、真空度保持体41と、回転ブラシ37とを有する。ケース体35は、床面に対向する下部に吸込口51を備える。接地部40は、ケース体35を床面に対して支持する。真空度保持体41は、ケース体35の吸込口51の後部に沿って配置され床面側に突出する。回転ブラシ37は、床面と接触可能な清掃部材65を備え、吸込口51に回転可能に配置される。ケース体35の下部は、吸込口51の側部の位置が接地部40の少なくともいずれかの周囲と略面一に形成されている。</t>
  </si>
  <si>
    <t>A47L5/00,A47L11/00,H01R39/00,A61C17/00,B01D33/00,A47L13/00,B08B9/00,A47L9/00,H02M7/00,H01M50/00,B08B1/00,B65B35/00,B04C5/00,H05K7/00,H02B1/00,G11B5/00,B64C25/00,F02M69/00,A24F40/00,A45D24/00,E04B5/00,A47C4/00,H01R13/00,A47L11/00,H01R39/00,A61C13/00,F24S25/00,F21Y107/00,A43B7/00,A47C17/00,E04F13/00,B65H3/00,H02B1/00,E04F15/00,H01H9/00,A47L23/00,A47C1/00,A46B17/00,B60B15/00,B01J8/00,A47L5/00,B65D35/00,H01M50/00,H01J5/00,B65B43/00,B65D43/00,B65H3/00,E04H17/00,B65H29/00,A61C17/00,H01R33/00,B65D75/00,F16L59/00,B65H5/00,F02M69/00,H01J19/00,E05C17/00,F16J15/00,B67B7/00,F04B37/00,A47L5/00,A47L11/00,B08B9/00,H01R39/00,B01D33/00,B08B1/00,B01D46/00,A47L9/00,H02M7/00,B65H39/00,B01F27/00,B26F1/00,A01G20/00,A47L15/00,A63B21/00,B05B15/00,B43K24/00,A47L13/00,C14B1/00,B01D29/00,A47L5/00,B01D46/00,F02M35/00,B04C5/00,F02B25/00,A61C17/00,A47L9/00,F02M26/00,D01G15/00,A47L11/00,E21B21/00,B65B1/00,B01D33/00,F26B13/00,A45D24/00,F01N3/00,F23J3/00,B65H3/00,F02M69/00,F24F1/00</t>
  </si>
  <si>
    <t>A47L5/00,A47L9/00,A47L13/00,A47L11/00,B01D33/00,A47L11/00,F24S25/00,E04B5/00,A43B7/00,A47C17/00,A47L5/00,B65D35/00,B65D43/00,A61C17/00,B65B43/00,A47L5/00,A47L9/00,A47L11/00,B08B1/00,B08B9/00,A47L5/00,A47L9/00,A47L11/00,B01D46/00,B04C5/00</t>
  </si>
  <si>
    <t>アンギオＣＴ装置</t>
  </si>
  <si>
    <t>A61B6/03</t>
  </si>
  <si>
    <t>A61B6/00</t>
  </si>
  <si>
    <t>【課題】  アンギオ装置とＣＴ装置とを交替させるためのセット時間及び退避時間を減少させる。 【解決手段】  実施形態に係るアンギオＣＴ装置は、寝台装置、ＣＴガントリ、アンギオガントリ、第１セット手段及び撮像制御手段を具備する。前記寝台装置は、被検体が載置される天板を有する。前記ＣＴガントリは、前記天板が挿入される開口部を有する。前記アンギオガントリは、一端にＸ線管を有し、且つ他端にＸ線検出器を有する。前記第１セット手段は、両ガントリの交差モードが選択されると、前記Ｘ線管と前記Ｘ線検出器とを結ぶ直線が、前記被検体及び前記開口部を通過するように、前記ＣＴガントリと前記アンギオガントリとを交差させた状態にセットする。前記撮像制御手段は、前記交差させた前記ＣＴガントリ及び前記アンギオガントリによる撮像を制御する。</t>
  </si>
  <si>
    <t>H05G1/00,H01J37/00,H01J3/00,H01J29/00,H01J31/00,G01S7/00,G01T1/00,H01Q3/00,A61B6/00,G01J5/00,G01S3/00,H01Q9/00,H01Q21/00,H01Q1/00,G09G1/00,H03K3/00,G11B7/00,H01Q19/00,H01J35/00,H04N1/00,G01C19/00,E06B9/00,B66C23/00,E01F9/00,B62J6/00,B66B17/00,F01C20/00,B29C48/00,E04G9/00,B60K35/00,G11B17/00,G11B7/00,B62D1/00,E01B7/00,A61F2/00,G01J5/00,E01B3/00,B23Q1/00,A24F15/00,A47B88/00,A47C17/00,A61G7/00,C10B49/00,F16M11/00,B60P3/00,A47B23/00,B63B29/00,A61G1/00,B66F7/00,A61B50/00,A47B91/00,B22C11/00,B65H5/00,A61B90/00,E04B5/00,E04H6/00,A61G15/00,E01B3/00,B61D1/00,B23Q5/00,G01S3/00,G01S13/00,G05B19/00,G01C11/00,G01C3/00,G01S5/00,H01Q3/00,G06F3/00,G01N23/00,G11B5/00,G01S1/00,G03F7/00,H01Q1/00,H02M1/00,G01S17/00,H04N13/00,G06T7/00,G05D1/00,G21C7/00,A63B51/00,H04N23/00,H04N13/00,H04N25/00,G05B19/00,H04N1/00,H05G1/00,G03B7/00,G01C11/00,H04N5/00,H01S3/00,G02F1/00,G01J5/00,G03H1/00,H02M1/00,B60R1/00,G03B17/00,G03B39/00,H10K39/00,B62M6/00,H01J29/00</t>
  </si>
  <si>
    <t>H05G1/00,A61B6/00,G01T1/00,H01J37/00,H01J3/00,E06B9/00,B66B17/00,B66C23/00,F01C20/00,B29C48/00,A61G7/00,A47C17/00,F16M11/00,A61G1/00,A47B23/00,G05B19/00,G01N23/00,G01S5/00,G01C11/00,G01C3/00,H04N23/00,H04N25/00,H05G1/00,G05B19/00,G03B7/00</t>
  </si>
  <si>
    <t>血液浄化システム</t>
  </si>
  <si>
    <t>A61M1/14</t>
  </si>
  <si>
    <t>【課題】血液浄化治療中に記憶されて蓄積された過去情報を有効活用することができるとともに、非定常的に発生する特定事項に対する対応を素早く且つ適切に行わせることができる血液浄化システムを提供する。 【解決手段】記憶手段３ａに記憶された過去情報には、血液浄化治療中において非定常的に発生した特定事項が含まれるとともに、記憶手段３ａに蓄積された過去情報を検索し、所望の特定事項を抽出可能な抽出手段５と、抽出手段５で抽出された特定事項が所定回数以上発生した時間を多発時間として算出し得る算出手段５と、算出手段５で算出された多発時間を現在の血液浄化治療中に表示手段４ａにて表示させ得る表示制御手段７とを具備した血液浄化システムである。</t>
  </si>
  <si>
    <t>A61M60/00,B01D35/00,A61M1/00,B01D61/00,B01D29/00,B01D33/00,B01D25/00,A61B5/00,B01D46/00,B61G1/00,F02M35/00,B07B11/00,B08B9/00,B60L1/00,B05B15/00,B01D53/00,A47K7/00,D06F43/00,B01D36/00,A47L9/00,A61M60/00,B41J5/00,B41B27/00,G11B27/00,A61M1/00,B01D29/00,G11B15/00,G06F7/00,G11B7/00,A23C9/00,G06F12/00,B66B1/00,G06K1/00,B01D33/00,G01N33/00,G11B25/00,A61B5/00,G01P1/00,B30B9/00,B01J49/00,G06F16/00,G06V10/00,G06F18/00,G06T7/00,G10L17/00,H04H60/00,H04L41/00,H04N21/00,G11B27/00,G10L19/00,H04M1/00,G10L25/00,G06V30/00,G06N5/00,H04L67/00,G10L21/00,G02F1/00,H04N19/00,H01M8/00,F24F11/00,G04C23/00,G06F7/00,H03L7/00,G07C1/00,G06F18/00,H04M15/00,G06M3/00,H01H43/00,G04B23/00,H04N19/00,H04N25/00,G08C19/00,G04C21/00,G07C3/00,G01P3/00,G01R19/00,H01M8/00,H04L41/00,H03K3/00,G01D5/00,B60K35/00,H04W68/00,B60W50/00,A61M60/00,F24H15/00,G04C21/00,G06F11/00,A61B5/00,G06M3/00,H04L41/00,D06F33/00,G16H50/00,H04H60/00,H04M1/00,H04N5/00,G09G5/00,G11B7/00,H04L67/00,F16H61/00,G07D11/00</t>
  </si>
  <si>
    <t>A61M60/00,A61M1/00,B01D61/00,A61B5/00,B01D35/00,A61M60/00,A61M1/00,G11B27/00,G11B15/00,G06F7/00,G06F16/00,G06F18/00,G06V10/00,G11B27/00,H04L41/00,G07C1/00,G06F7/00,G06F18/00,G06M3/00,G04C23/00,A61M60/00,A61B5/00,H04W68/00,G06F11/00,G04C21/00</t>
  </si>
  <si>
    <t>middle_nums</t>
    <phoneticPr fontId="2" type="noConversion"/>
  </si>
  <si>
    <t>final_nums</t>
    <phoneticPr fontId="2" type="noConversion"/>
  </si>
  <si>
    <t>in_middle</t>
    <phoneticPr fontId="2" type="noConversion"/>
  </si>
  <si>
    <t>A63F5/04</t>
    <phoneticPr fontId="2" type="noConversion"/>
  </si>
  <si>
    <t>in_final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</si>
</sst>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b/>
      <sz val="11"/>
      <color theme="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1" fillId="2" borderId="1" xfId="0" applyFont="1" applyFill="1" applyBorder="1">
      <alignment vertical="center"/>
    </xf>
    <xf numFmtId="0" fontId="0" fillId="3" borderId="1" xfId="0" applyFill="1" applyBorder="1">
      <alignment vertical="center"/>
    </xf>
    <xf numFmtId="0" fontId="0" fillId="0" borderId="1" xfId="0" applyBorder="1">
      <alignment vertical="center"/>
    </xf>
    <xf numFmtId="0" fontId="1" fillId="2" borderId="2" xfId="0" applyFont="1" applyFill="1" applyBorder="1">
      <alignment vertical="center"/>
    </xf>
    <xf numFmtId="0" fontId="0" fillId="3" borderId="2" xfId="0" applyFill="1" applyBorder="1">
      <alignment vertical="center"/>
    </xf>
    <xf numFmtId="0" fontId="0" fillId="0" borderId="2" xfId="0" applyBorder="1">
      <alignment vertical="center"/>
    </xf>
  </cellXfs>
  <cellStyles count="1">
    <cellStyle name="常规" xfId="0" builtinId="0"/>
  </cellStyles>
  <dxfs count="2">
    <dxf>
      <font>
        <b/>
        <i val="0"/>
        <strike val="0"/>
        <condense val="0"/>
        <extend val="0"/>
        <outline val="0"/>
        <shadow val="0"/>
        <u val="none"/>
        <vertAlign val="baseline"/>
        <sz val="11"/>
        <color theme="0"/>
        <name val="等线"/>
        <family val="2"/>
        <charset val="134"/>
        <scheme val="minor"/>
      </font>
      <fill>
        <patternFill patternType="solid">
          <fgColor theme="9"/>
          <bgColor theme="9"/>
        </patternFill>
      </fill>
      <border diagonalUp="0" diagonalDown="0" outline="0">
        <left style="thin">
          <color indexed="64"/>
        </left>
        <right style="thin">
          <color indexed="64"/>
        </right>
        <top/>
        <bottom/>
      </border>
    </dxf>
    <dxf>
      <border outline="0">
        <left style="thin">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9BA5AD-1E89-484C-9C68-7B403F3A0F56}" name="表2" displayName="表2" ref="I1:L26" totalsRowShown="0" headerRowDxfId="0" tableBorderDxfId="1">
  <autoFilter ref="I1:L26" xr:uid="{B09BA5AD-1E89-484C-9C68-7B403F3A0F56}"/>
  <tableColumns count="4">
    <tableColumn id="1" xr3:uid="{668323CC-C691-4B3E-9439-CA42E7EA43F7}" name="middle_nums">
      <calculatedColumnFormula>LEN(G2)-LEN(SUBSTITUTE(G2,"/",""))</calculatedColumnFormula>
    </tableColumn>
    <tableColumn id="2" xr3:uid="{2AEC24EC-0005-48E6-A62B-724BD7DEF298}" name="final_nums">
      <calculatedColumnFormula>LEN(H2)-LEN(SUBSTITUTE(H2,"/",""))</calculatedColumnFormula>
    </tableColumn>
    <tableColumn id="3" xr3:uid="{296F10EE-168B-4A76-91E8-AD2AA5FD245B}" name="in_middle">
      <calculatedColumnFormula>ISNUMBER(SEARCH(LEFT($C2,FIND("/",$C2)-1),G2))</calculatedColumnFormula>
    </tableColumn>
    <tableColumn id="4" xr3:uid="{BCBCAEFC-B480-4DD8-AB56-2C6F0711A6EB}" name="in_final">
      <calculatedColumnFormula>ISNUMBER(SEARCH(LEFT($C2,FIND("/",$C2)-1),H2))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BDA38-63BE-424F-A9B2-256A772D5CD7}">
  <dimension ref="A1:L26"/>
  <sheetViews>
    <sheetView tabSelected="1" topLeftCell="B1" workbookViewId="0">
      <selection activeCell="K12" sqref="K12"/>
    </sheetView>
  </sheetViews>
  <sheetFormatPr defaultRowHeight="14.15" x14ac:dyDescent="0.35"/>
  <cols>
    <col min="1" max="1" width="14.5" customWidth="1"/>
    <col min="2" max="2" width="17.7109375" customWidth="1"/>
    <col min="3" max="3" width="14.35546875" customWidth="1"/>
    <col min="4" max="4" width="24.140625" customWidth="1"/>
    <col min="5" max="5" width="22.2109375" customWidth="1"/>
    <col min="6" max="6" width="8.42578125" customWidth="1"/>
    <col min="7" max="7" width="19.92578125" customWidth="1"/>
    <col min="8" max="8" width="19.42578125" customWidth="1"/>
    <col min="9" max="9" width="13.78515625" customWidth="1"/>
    <col min="10" max="10" width="11.5703125" customWidth="1"/>
    <col min="11" max="11" width="10.78515625" customWidth="1"/>
  </cols>
  <sheetData>
    <row r="1" spans="1:12" x14ac:dyDescent="0.35">
      <c r="A1" s="1" t="s">
        <v>0</v>
      </c>
      <c r="B1" s="1" t="s">
        <v>1</v>
      </c>
      <c r="C1" s="1" t="s">
        <v>2</v>
      </c>
      <c r="D1" s="1" t="s">
        <v>3</v>
      </c>
      <c r="E1" s="1" t="s">
        <v>4</v>
      </c>
      <c r="F1" s="1" t="s">
        <v>5</v>
      </c>
      <c r="G1" s="1" t="s">
        <v>6</v>
      </c>
      <c r="H1" s="4" t="s">
        <v>7</v>
      </c>
      <c r="I1" t="s">
        <v>136</v>
      </c>
      <c r="J1" t="s">
        <v>137</v>
      </c>
      <c r="K1" t="s">
        <v>138</v>
      </c>
      <c r="L1" t="s">
        <v>140</v>
      </c>
    </row>
    <row r="2" spans="1:12" x14ac:dyDescent="0.35">
      <c r="A2" s="2">
        <v>2019000004</v>
      </c>
      <c r="B2" s="2" t="s">
        <v>8</v>
      </c>
      <c r="C2" s="2" t="s">
        <v>9</v>
      </c>
      <c r="D2" s="2" t="s">
        <v>10</v>
      </c>
      <c r="E2" s="2" t="s">
        <v>11</v>
      </c>
      <c r="F2" s="2">
        <v>1</v>
      </c>
      <c r="G2" s="2" t="s">
        <v>12</v>
      </c>
      <c r="H2" s="5" t="s">
        <v>13</v>
      </c>
      <c r="I2">
        <f>LEN(G2)-LEN(SUBSTITUTE(G2,"/",""))</f>
        <v>100</v>
      </c>
      <c r="J2">
        <f>LEN(H2)-LEN(SUBSTITUTE(H2,"/",""))</f>
        <v>25</v>
      </c>
      <c r="K2" t="b">
        <f>ISNUMBER(SEARCH(LEFT($C2,FIND("/",$C2)-1),G2))</f>
        <v>1</v>
      </c>
      <c r="L2" t="b">
        <f>ISNUMBER(SEARCH(LEFT($C2,FIND("/",$C2)-1),H2))</f>
        <v>1</v>
      </c>
    </row>
    <row r="3" spans="1:12" x14ac:dyDescent="0.35">
      <c r="A3" s="3">
        <v>2019000021</v>
      </c>
      <c r="B3" s="3" t="s">
        <v>14</v>
      </c>
      <c r="C3" s="3" t="s">
        <v>15</v>
      </c>
      <c r="D3" s="3" t="s">
        <v>16</v>
      </c>
      <c r="E3" s="3" t="s">
        <v>17</v>
      </c>
      <c r="F3" s="3">
        <v>1</v>
      </c>
      <c r="G3" s="3" t="s">
        <v>18</v>
      </c>
      <c r="H3" s="6" t="s">
        <v>19</v>
      </c>
      <c r="I3">
        <f t="shared" ref="I3:I26" si="0">LEN(G3)-LEN(SUBSTITUTE(G3,"/",""))</f>
        <v>80</v>
      </c>
      <c r="J3">
        <f t="shared" ref="J3:J26" si="1">LEN(H3)-LEN(SUBSTITUTE(H3,"/",""))</f>
        <v>20</v>
      </c>
      <c r="K3" t="b">
        <f t="shared" ref="K3:K26" si="2">ISNUMBER(SEARCH(LEFT($C3,FIND("/",$C3)-1),G3))</f>
        <v>1</v>
      </c>
      <c r="L3" t="b">
        <f t="shared" ref="L3:L26" si="3">ISNUMBER(SEARCH(LEFT($C3,FIND("/",$C3)-1),H3))</f>
        <v>1</v>
      </c>
    </row>
    <row r="4" spans="1:12" x14ac:dyDescent="0.35">
      <c r="A4" s="2">
        <v>2019000028</v>
      </c>
      <c r="B4" s="2" t="s">
        <v>20</v>
      </c>
      <c r="C4" s="2" t="s">
        <v>21</v>
      </c>
      <c r="D4" s="2" t="s">
        <v>22</v>
      </c>
      <c r="E4" s="2" t="s">
        <v>23</v>
      </c>
      <c r="F4" s="2">
        <v>1</v>
      </c>
      <c r="G4" s="2" t="s">
        <v>24</v>
      </c>
      <c r="H4" s="5" t="s">
        <v>25</v>
      </c>
      <c r="I4">
        <f t="shared" si="0"/>
        <v>80</v>
      </c>
      <c r="J4">
        <f t="shared" si="1"/>
        <v>20</v>
      </c>
      <c r="K4" t="b">
        <f t="shared" si="2"/>
        <v>1</v>
      </c>
      <c r="L4" t="b">
        <f t="shared" si="3"/>
        <v>0</v>
      </c>
    </row>
    <row r="5" spans="1:12" x14ac:dyDescent="0.35">
      <c r="A5" s="3">
        <v>2019000046</v>
      </c>
      <c r="B5" s="3" t="s">
        <v>26</v>
      </c>
      <c r="C5" s="3" t="s">
        <v>27</v>
      </c>
      <c r="D5" s="3" t="s">
        <v>22</v>
      </c>
      <c r="E5" s="3" t="s">
        <v>28</v>
      </c>
      <c r="F5" s="3">
        <v>1</v>
      </c>
      <c r="G5" s="3" t="s">
        <v>29</v>
      </c>
      <c r="H5" s="6" t="s">
        <v>30</v>
      </c>
      <c r="I5">
        <f t="shared" si="0"/>
        <v>80</v>
      </c>
      <c r="J5">
        <f t="shared" si="1"/>
        <v>20</v>
      </c>
      <c r="K5" t="b">
        <f t="shared" si="2"/>
        <v>0</v>
      </c>
      <c r="L5" t="b">
        <f t="shared" si="3"/>
        <v>0</v>
      </c>
    </row>
    <row r="6" spans="1:12" x14ac:dyDescent="0.35">
      <c r="A6" s="2">
        <v>2019000051</v>
      </c>
      <c r="B6" s="2" t="s">
        <v>31</v>
      </c>
      <c r="C6" s="2" t="s">
        <v>32</v>
      </c>
      <c r="D6" s="2" t="s">
        <v>22</v>
      </c>
      <c r="E6" s="2" t="s">
        <v>33</v>
      </c>
      <c r="F6" s="2">
        <v>1</v>
      </c>
      <c r="G6" s="2" t="s">
        <v>34</v>
      </c>
      <c r="H6" s="5" t="s">
        <v>35</v>
      </c>
      <c r="I6">
        <f t="shared" si="0"/>
        <v>80</v>
      </c>
      <c r="J6">
        <f t="shared" si="1"/>
        <v>17</v>
      </c>
      <c r="K6" t="b">
        <f t="shared" si="2"/>
        <v>0</v>
      </c>
      <c r="L6" t="b">
        <f t="shared" si="3"/>
        <v>0</v>
      </c>
    </row>
    <row r="7" spans="1:12" x14ac:dyDescent="0.35">
      <c r="A7" s="3">
        <v>2019000055</v>
      </c>
      <c r="B7" s="3" t="s">
        <v>36</v>
      </c>
      <c r="C7" s="3" t="s">
        <v>37</v>
      </c>
      <c r="D7" s="3" t="s">
        <v>38</v>
      </c>
      <c r="E7" s="3" t="s">
        <v>39</v>
      </c>
      <c r="F7" s="3">
        <v>1</v>
      </c>
      <c r="G7" s="3" t="s">
        <v>40</v>
      </c>
      <c r="H7" s="6" t="s">
        <v>41</v>
      </c>
      <c r="I7">
        <f t="shared" si="0"/>
        <v>80</v>
      </c>
      <c r="J7">
        <f t="shared" si="1"/>
        <v>20</v>
      </c>
      <c r="K7" t="b">
        <f t="shared" si="2"/>
        <v>1</v>
      </c>
      <c r="L7" t="b">
        <f t="shared" si="3"/>
        <v>1</v>
      </c>
    </row>
    <row r="8" spans="1:12" x14ac:dyDescent="0.35">
      <c r="A8" s="2">
        <v>2019000059</v>
      </c>
      <c r="B8" s="2" t="s">
        <v>42</v>
      </c>
      <c r="C8" s="2" t="s">
        <v>43</v>
      </c>
      <c r="D8" s="2" t="s">
        <v>44</v>
      </c>
      <c r="E8" s="2" t="s">
        <v>45</v>
      </c>
      <c r="F8" s="2">
        <v>1</v>
      </c>
      <c r="G8" s="2" t="s">
        <v>46</v>
      </c>
      <c r="H8" s="5" t="s">
        <v>47</v>
      </c>
      <c r="I8">
        <f t="shared" si="0"/>
        <v>100</v>
      </c>
      <c r="J8">
        <f t="shared" si="1"/>
        <v>25</v>
      </c>
      <c r="K8" t="b">
        <f t="shared" si="2"/>
        <v>0</v>
      </c>
      <c r="L8" t="b">
        <f t="shared" si="3"/>
        <v>0</v>
      </c>
    </row>
    <row r="9" spans="1:12" x14ac:dyDescent="0.35">
      <c r="A9" s="3">
        <v>2019000061</v>
      </c>
      <c r="B9" s="3" t="s">
        <v>48</v>
      </c>
      <c r="C9" s="3" t="s">
        <v>32</v>
      </c>
      <c r="D9" s="3" t="s">
        <v>22</v>
      </c>
      <c r="E9" s="3" t="s">
        <v>49</v>
      </c>
      <c r="F9" s="3">
        <v>1</v>
      </c>
      <c r="G9" s="3" t="s">
        <v>50</v>
      </c>
      <c r="H9" s="6" t="s">
        <v>51</v>
      </c>
      <c r="I9">
        <f t="shared" si="0"/>
        <v>80</v>
      </c>
      <c r="J9">
        <f t="shared" si="1"/>
        <v>20</v>
      </c>
      <c r="K9" t="b">
        <f t="shared" si="2"/>
        <v>0</v>
      </c>
      <c r="L9" t="b">
        <f t="shared" si="3"/>
        <v>0</v>
      </c>
    </row>
    <row r="10" spans="1:12" x14ac:dyDescent="0.35">
      <c r="A10" s="2">
        <v>2019000064</v>
      </c>
      <c r="B10" s="2" t="s">
        <v>52</v>
      </c>
      <c r="C10" s="2" t="s">
        <v>53</v>
      </c>
      <c r="D10" s="2" t="s">
        <v>54</v>
      </c>
      <c r="E10" s="2" t="s">
        <v>55</v>
      </c>
      <c r="F10" s="2">
        <v>1</v>
      </c>
      <c r="G10" s="2" t="s">
        <v>56</v>
      </c>
      <c r="H10" s="5" t="s">
        <v>57</v>
      </c>
      <c r="I10">
        <f t="shared" si="0"/>
        <v>80</v>
      </c>
      <c r="J10">
        <f t="shared" si="1"/>
        <v>20</v>
      </c>
      <c r="K10" t="b">
        <f t="shared" si="2"/>
        <v>0</v>
      </c>
      <c r="L10" t="b">
        <f t="shared" si="3"/>
        <v>0</v>
      </c>
    </row>
    <row r="11" spans="1:12" x14ac:dyDescent="0.35">
      <c r="A11" s="3">
        <v>2019000102</v>
      </c>
      <c r="B11" s="3" t="s">
        <v>58</v>
      </c>
      <c r="C11" s="3" t="s">
        <v>59</v>
      </c>
      <c r="D11" s="3" t="s">
        <v>60</v>
      </c>
      <c r="E11" s="3" t="s">
        <v>61</v>
      </c>
      <c r="F11" s="3">
        <v>1</v>
      </c>
      <c r="G11" s="3" t="s">
        <v>62</v>
      </c>
      <c r="H11" s="6" t="s">
        <v>63</v>
      </c>
      <c r="I11">
        <f t="shared" si="0"/>
        <v>80</v>
      </c>
      <c r="J11">
        <f t="shared" si="1"/>
        <v>20</v>
      </c>
      <c r="K11" t="b">
        <f t="shared" si="2"/>
        <v>0</v>
      </c>
      <c r="L11" t="b">
        <f t="shared" si="3"/>
        <v>0</v>
      </c>
    </row>
    <row r="12" spans="1:12" x14ac:dyDescent="0.35">
      <c r="A12" s="2">
        <v>2019000125</v>
      </c>
      <c r="B12" s="2" t="s">
        <v>64</v>
      </c>
      <c r="C12" s="2" t="s">
        <v>65</v>
      </c>
      <c r="D12" s="2" t="s">
        <v>22</v>
      </c>
      <c r="E12" s="2" t="s">
        <v>66</v>
      </c>
      <c r="F12" s="2">
        <v>1</v>
      </c>
      <c r="G12" s="2" t="s">
        <v>67</v>
      </c>
      <c r="H12" s="5" t="s">
        <v>68</v>
      </c>
      <c r="I12">
        <f t="shared" si="0"/>
        <v>80</v>
      </c>
      <c r="J12">
        <f t="shared" si="1"/>
        <v>20</v>
      </c>
      <c r="K12" t="b">
        <f t="shared" si="2"/>
        <v>1</v>
      </c>
      <c r="L12" t="b">
        <f t="shared" si="3"/>
        <v>1</v>
      </c>
    </row>
    <row r="13" spans="1:12" x14ac:dyDescent="0.35">
      <c r="A13" s="3">
        <v>2019000169</v>
      </c>
      <c r="B13" s="3" t="s">
        <v>69</v>
      </c>
      <c r="C13" s="3" t="s">
        <v>70</v>
      </c>
      <c r="D13" s="3" t="s">
        <v>22</v>
      </c>
      <c r="E13" s="3" t="s">
        <v>71</v>
      </c>
      <c r="F13" s="3">
        <v>1</v>
      </c>
      <c r="G13" s="3" t="s">
        <v>72</v>
      </c>
      <c r="H13" s="6" t="s">
        <v>73</v>
      </c>
      <c r="I13">
        <f t="shared" si="0"/>
        <v>80</v>
      </c>
      <c r="J13">
        <f t="shared" si="1"/>
        <v>20</v>
      </c>
      <c r="K13" t="b">
        <f t="shared" si="2"/>
        <v>0</v>
      </c>
      <c r="L13" t="b">
        <f t="shared" si="3"/>
        <v>0</v>
      </c>
    </row>
    <row r="14" spans="1:12" x14ac:dyDescent="0.35">
      <c r="A14" s="2">
        <v>2019000190</v>
      </c>
      <c r="B14" s="2" t="s">
        <v>74</v>
      </c>
      <c r="C14" s="2" t="s">
        <v>75</v>
      </c>
      <c r="D14" s="2" t="s">
        <v>76</v>
      </c>
      <c r="E14" s="2" t="s">
        <v>77</v>
      </c>
      <c r="F14" s="2">
        <v>1</v>
      </c>
      <c r="G14" s="2" t="s">
        <v>78</v>
      </c>
      <c r="H14" s="5" t="s">
        <v>79</v>
      </c>
      <c r="I14">
        <f t="shared" si="0"/>
        <v>80</v>
      </c>
      <c r="J14">
        <f t="shared" si="1"/>
        <v>20</v>
      </c>
      <c r="K14" t="b">
        <f t="shared" si="2"/>
        <v>0</v>
      </c>
      <c r="L14" t="b">
        <f t="shared" si="3"/>
        <v>0</v>
      </c>
    </row>
    <row r="15" spans="1:12" x14ac:dyDescent="0.35">
      <c r="A15" s="3">
        <v>2019000203</v>
      </c>
      <c r="B15" s="3" t="s">
        <v>74</v>
      </c>
      <c r="C15" s="3" t="s">
        <v>75</v>
      </c>
      <c r="D15" s="3" t="s">
        <v>22</v>
      </c>
      <c r="E15" s="3" t="s">
        <v>80</v>
      </c>
      <c r="F15" s="3">
        <v>1</v>
      </c>
      <c r="G15" s="3" t="s">
        <v>81</v>
      </c>
      <c r="H15" s="6" t="s">
        <v>82</v>
      </c>
      <c r="I15">
        <f t="shared" si="0"/>
        <v>100</v>
      </c>
      <c r="J15">
        <f t="shared" si="1"/>
        <v>25</v>
      </c>
      <c r="K15" t="b">
        <f t="shared" si="2"/>
        <v>0</v>
      </c>
      <c r="L15" t="b">
        <f t="shared" si="3"/>
        <v>0</v>
      </c>
    </row>
    <row r="16" spans="1:12" x14ac:dyDescent="0.35">
      <c r="A16" s="2">
        <v>2019000223</v>
      </c>
      <c r="B16" s="2" t="s">
        <v>74</v>
      </c>
      <c r="C16" s="2" t="s">
        <v>75</v>
      </c>
      <c r="D16" s="2" t="s">
        <v>22</v>
      </c>
      <c r="E16" s="2" t="s">
        <v>83</v>
      </c>
      <c r="F16" s="2">
        <v>1</v>
      </c>
      <c r="G16" s="2" t="s">
        <v>84</v>
      </c>
      <c r="H16" s="5" t="s">
        <v>85</v>
      </c>
      <c r="I16">
        <f t="shared" si="0"/>
        <v>80</v>
      </c>
      <c r="J16">
        <f t="shared" si="1"/>
        <v>17</v>
      </c>
      <c r="K16" t="b">
        <f t="shared" si="2"/>
        <v>0</v>
      </c>
      <c r="L16" t="b">
        <f t="shared" si="3"/>
        <v>0</v>
      </c>
    </row>
    <row r="17" spans="1:12" x14ac:dyDescent="0.35">
      <c r="A17" s="3">
        <v>2019000227</v>
      </c>
      <c r="B17" s="3" t="s">
        <v>86</v>
      </c>
      <c r="C17" s="3" t="s">
        <v>87</v>
      </c>
      <c r="D17" s="3" t="s">
        <v>88</v>
      </c>
      <c r="E17" s="3" t="s">
        <v>89</v>
      </c>
      <c r="F17" s="3">
        <v>1</v>
      </c>
      <c r="G17" s="3" t="s">
        <v>90</v>
      </c>
      <c r="H17" s="6" t="s">
        <v>91</v>
      </c>
      <c r="I17">
        <f t="shared" si="0"/>
        <v>80</v>
      </c>
      <c r="J17">
        <f t="shared" si="1"/>
        <v>20</v>
      </c>
      <c r="K17" t="b">
        <f t="shared" si="2"/>
        <v>1</v>
      </c>
      <c r="L17" t="b">
        <f t="shared" si="3"/>
        <v>1</v>
      </c>
    </row>
    <row r="18" spans="1:12" x14ac:dyDescent="0.35">
      <c r="A18" s="2">
        <v>2019000246</v>
      </c>
      <c r="B18" s="2" t="s">
        <v>92</v>
      </c>
      <c r="C18" s="2" t="s">
        <v>93</v>
      </c>
      <c r="D18" s="2" t="s">
        <v>22</v>
      </c>
      <c r="E18" s="2" t="s">
        <v>94</v>
      </c>
      <c r="F18" s="2">
        <v>1</v>
      </c>
      <c r="G18" s="2" t="s">
        <v>95</v>
      </c>
      <c r="H18" s="5" t="s">
        <v>96</v>
      </c>
      <c r="I18">
        <f t="shared" si="0"/>
        <v>80</v>
      </c>
      <c r="J18">
        <f t="shared" si="1"/>
        <v>20</v>
      </c>
      <c r="K18" t="b">
        <f t="shared" si="2"/>
        <v>0</v>
      </c>
      <c r="L18" t="b">
        <f t="shared" si="3"/>
        <v>0</v>
      </c>
    </row>
    <row r="19" spans="1:12" x14ac:dyDescent="0.35">
      <c r="A19" s="3">
        <v>2019000249</v>
      </c>
      <c r="B19" s="3" t="s">
        <v>74</v>
      </c>
      <c r="C19" s="3" t="s">
        <v>139</v>
      </c>
      <c r="D19" s="3" t="s">
        <v>22</v>
      </c>
      <c r="E19" s="3" t="s">
        <v>97</v>
      </c>
      <c r="F19" s="3">
        <v>1</v>
      </c>
      <c r="G19" s="3" t="s">
        <v>98</v>
      </c>
      <c r="H19" s="6" t="s">
        <v>99</v>
      </c>
      <c r="I19">
        <f t="shared" si="0"/>
        <v>80</v>
      </c>
      <c r="J19">
        <f t="shared" si="1"/>
        <v>20</v>
      </c>
      <c r="K19" t="b">
        <f t="shared" si="2"/>
        <v>0</v>
      </c>
      <c r="L19" t="b">
        <f t="shared" si="3"/>
        <v>0</v>
      </c>
    </row>
    <row r="20" spans="1:12" x14ac:dyDescent="0.35">
      <c r="A20" s="2">
        <v>2019000250</v>
      </c>
      <c r="B20" s="2" t="s">
        <v>100</v>
      </c>
      <c r="C20" s="2" t="s">
        <v>101</v>
      </c>
      <c r="D20" s="2" t="s">
        <v>102</v>
      </c>
      <c r="E20" s="2" t="s">
        <v>103</v>
      </c>
      <c r="F20" s="2">
        <v>1</v>
      </c>
      <c r="G20" s="2" t="s">
        <v>104</v>
      </c>
      <c r="H20" s="5" t="s">
        <v>105</v>
      </c>
      <c r="I20">
        <f t="shared" si="0"/>
        <v>100</v>
      </c>
      <c r="J20">
        <f t="shared" si="1"/>
        <v>25</v>
      </c>
      <c r="K20" t="b">
        <f t="shared" si="2"/>
        <v>0</v>
      </c>
      <c r="L20" t="b">
        <f t="shared" si="3"/>
        <v>0</v>
      </c>
    </row>
    <row r="21" spans="1:12" x14ac:dyDescent="0.35">
      <c r="A21" s="3">
        <v>2019000266</v>
      </c>
      <c r="B21" s="3" t="s">
        <v>74</v>
      </c>
      <c r="C21" s="3" t="s">
        <v>75</v>
      </c>
      <c r="D21" s="3" t="s">
        <v>22</v>
      </c>
      <c r="E21" s="3" t="s">
        <v>106</v>
      </c>
      <c r="F21" s="3">
        <v>1</v>
      </c>
      <c r="G21" s="3" t="s">
        <v>107</v>
      </c>
      <c r="H21" s="6" t="s">
        <v>108</v>
      </c>
      <c r="I21">
        <f t="shared" si="0"/>
        <v>80</v>
      </c>
      <c r="J21">
        <f t="shared" si="1"/>
        <v>20</v>
      </c>
      <c r="K21" t="b">
        <f t="shared" si="2"/>
        <v>0</v>
      </c>
      <c r="L21" t="b">
        <f t="shared" si="3"/>
        <v>0</v>
      </c>
    </row>
    <row r="22" spans="1:12" x14ac:dyDescent="0.35">
      <c r="A22" s="2">
        <v>2019000277</v>
      </c>
      <c r="B22" s="2" t="s">
        <v>109</v>
      </c>
      <c r="C22" s="2" t="s">
        <v>110</v>
      </c>
      <c r="D22" s="2" t="s">
        <v>22</v>
      </c>
      <c r="E22" s="2" t="s">
        <v>111</v>
      </c>
      <c r="F22" s="2">
        <v>1</v>
      </c>
      <c r="G22" s="2" t="s">
        <v>112</v>
      </c>
      <c r="H22" s="5" t="s">
        <v>113</v>
      </c>
      <c r="I22">
        <f t="shared" si="0"/>
        <v>80</v>
      </c>
      <c r="J22">
        <f t="shared" si="1"/>
        <v>20</v>
      </c>
      <c r="K22" t="b">
        <f t="shared" si="2"/>
        <v>1</v>
      </c>
      <c r="L22" t="b">
        <f t="shared" si="3"/>
        <v>1</v>
      </c>
    </row>
    <row r="23" spans="1:12" x14ac:dyDescent="0.35">
      <c r="A23" s="3">
        <v>2019000293</v>
      </c>
      <c r="B23" s="3" t="s">
        <v>114</v>
      </c>
      <c r="C23" s="3" t="s">
        <v>115</v>
      </c>
      <c r="D23" s="3" t="s">
        <v>22</v>
      </c>
      <c r="E23" s="3" t="s">
        <v>116</v>
      </c>
      <c r="F23" s="3">
        <v>1</v>
      </c>
      <c r="G23" s="3" t="s">
        <v>117</v>
      </c>
      <c r="H23" s="6" t="s">
        <v>118</v>
      </c>
      <c r="I23">
        <f t="shared" si="0"/>
        <v>80</v>
      </c>
      <c r="J23">
        <f t="shared" si="1"/>
        <v>20</v>
      </c>
      <c r="K23" t="b">
        <f t="shared" si="2"/>
        <v>1</v>
      </c>
      <c r="L23" t="b">
        <f t="shared" si="3"/>
        <v>1</v>
      </c>
    </row>
    <row r="24" spans="1:12" x14ac:dyDescent="0.35">
      <c r="A24" s="2">
        <v>2019000297</v>
      </c>
      <c r="B24" s="2" t="s">
        <v>119</v>
      </c>
      <c r="C24" s="2" t="s">
        <v>120</v>
      </c>
      <c r="D24" s="2" t="s">
        <v>121</v>
      </c>
      <c r="E24" s="2" t="s">
        <v>122</v>
      </c>
      <c r="F24" s="2">
        <v>1</v>
      </c>
      <c r="G24" s="2" t="s">
        <v>123</v>
      </c>
      <c r="H24" s="5" t="s">
        <v>124</v>
      </c>
      <c r="I24">
        <f t="shared" si="0"/>
        <v>100</v>
      </c>
      <c r="J24">
        <f t="shared" si="1"/>
        <v>25</v>
      </c>
      <c r="K24" t="b">
        <f t="shared" si="2"/>
        <v>1</v>
      </c>
      <c r="L24" t="b">
        <f t="shared" si="3"/>
        <v>1</v>
      </c>
    </row>
    <row r="25" spans="1:12" x14ac:dyDescent="0.35">
      <c r="A25" s="3">
        <v>2019000302</v>
      </c>
      <c r="B25" s="3" t="s">
        <v>125</v>
      </c>
      <c r="C25" s="3" t="s">
        <v>126</v>
      </c>
      <c r="D25" s="3" t="s">
        <v>127</v>
      </c>
      <c r="E25" s="3" t="s">
        <v>128</v>
      </c>
      <c r="F25" s="3">
        <v>1</v>
      </c>
      <c r="G25" s="3" t="s">
        <v>129</v>
      </c>
      <c r="H25" s="6" t="s">
        <v>130</v>
      </c>
      <c r="I25">
        <f t="shared" si="0"/>
        <v>100</v>
      </c>
      <c r="J25">
        <f t="shared" si="1"/>
        <v>25</v>
      </c>
      <c r="K25" t="b">
        <f t="shared" si="2"/>
        <v>1</v>
      </c>
      <c r="L25" t="b">
        <f t="shared" si="3"/>
        <v>1</v>
      </c>
    </row>
    <row r="26" spans="1:12" x14ac:dyDescent="0.35">
      <c r="A26" s="2">
        <v>2019000311</v>
      </c>
      <c r="B26" s="2" t="s">
        <v>131</v>
      </c>
      <c r="C26" s="2" t="s">
        <v>132</v>
      </c>
      <c r="D26" s="2" t="s">
        <v>70</v>
      </c>
      <c r="E26" s="2" t="s">
        <v>133</v>
      </c>
      <c r="F26" s="2">
        <v>1</v>
      </c>
      <c r="G26" s="2" t="s">
        <v>134</v>
      </c>
      <c r="H26" s="5" t="s">
        <v>135</v>
      </c>
      <c r="I26">
        <f t="shared" si="0"/>
        <v>100</v>
      </c>
      <c r="J26">
        <f t="shared" si="1"/>
        <v>25</v>
      </c>
      <c r="K26" t="b">
        <f t="shared" si="2"/>
        <v>1</v>
      </c>
      <c r="L26" t="b">
        <f t="shared" si="3"/>
        <v>1</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F86E11-4BC3-4777-85AF-58FCD8C743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天鑰 呉</dc:creator>
  <cp:lastModifiedBy>天鑰 呉</cp:lastModifiedBy>
  <dcterms:created xsi:type="dcterms:W3CDTF">2025-10-21T05:49:30Z</dcterms:created>
  <dcterms:modified xsi:type="dcterms:W3CDTF">2025-10-21T15:00:33Z</dcterms:modified>
</cp:coreProperties>
</file>